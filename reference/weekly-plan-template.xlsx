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ymanAbdalla\Desktop\"/>
    </mc:Choice>
  </mc:AlternateContent>
  <xr:revisionPtr revIDLastSave="0" documentId="8_{9211AD02-6FF7-4F31-BE3A-F8623D9568EF}" xr6:coauthVersionLast="47" xr6:coauthVersionMax="47" xr10:uidLastSave="{00000000-0000-0000-0000-000000000000}"/>
  <bookViews>
    <workbookView xWindow="-110" yWindow="-110" windowWidth="19420" windowHeight="11500" activeTab="3" xr2:uid="{00000000-000D-0000-FFFF-FFFF00000000}"/>
  </bookViews>
  <sheets>
    <sheet name="DASHBOARD" sheetId="33" r:id="rId1"/>
    <sheet name="TRACKER" sheetId="32" r:id="rId2"/>
    <sheet name="WEEK 1" sheetId="2" r:id="rId3"/>
    <sheet name="WEEK 2" sheetId="3" r:id="rId4"/>
    <sheet name="WEEK 3" sheetId="4" r:id="rId5"/>
    <sheet name="WEEK 4" sheetId="5" r:id="rId6"/>
    <sheet name="WEEK 5" sheetId="6" r:id="rId7"/>
    <sheet name="WEEK 6" sheetId="7" r:id="rId8"/>
    <sheet name="WEEK 7" sheetId="8" r:id="rId9"/>
    <sheet name="WEEK 8" sheetId="9" r:id="rId10"/>
    <sheet name="WEEK 9" sheetId="10" r:id="rId11"/>
    <sheet name="WEEK 10" sheetId="11" r:id="rId12"/>
    <sheet name="WEEK 11" sheetId="12" r:id="rId13"/>
    <sheet name="WEEK 12" sheetId="13" r:id="rId14"/>
    <sheet name="WEEK 13" sheetId="14" r:id="rId15"/>
    <sheet name="WEEK 14" sheetId="15" r:id="rId16"/>
    <sheet name="WEEK 15" sheetId="16" r:id="rId17"/>
    <sheet name="WEEK 16" sheetId="17" r:id="rId18"/>
    <sheet name="WEEK 17" sheetId="18" r:id="rId19"/>
    <sheet name="WEEK 18" sheetId="19" r:id="rId20"/>
    <sheet name="WEEK 19" sheetId="20" r:id="rId21"/>
    <sheet name="WEEK 20" sheetId="21" r:id="rId22"/>
    <sheet name="WEEK 21" sheetId="22" r:id="rId23"/>
    <sheet name="WEEK 22" sheetId="23" r:id="rId24"/>
    <sheet name="WEEK 23" sheetId="24" r:id="rId25"/>
    <sheet name="WEEK 24" sheetId="25" r:id="rId26"/>
    <sheet name="WEEK 25" sheetId="26" r:id="rId27"/>
    <sheet name="WEEK 26" sheetId="27" r:id="rId28"/>
    <sheet name="WEEK 27" sheetId="28" r:id="rId29"/>
    <sheet name="WEEK 28" sheetId="29" r:id="rId30"/>
    <sheet name="WEEK 29" sheetId="30" r:id="rId31"/>
    <sheet name="WEEK 30" sheetId="31" r:id="rId32"/>
    <sheet name="LISTS" sheetId="1"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33" l="1"/>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P31" i="32"/>
  <c r="O31" i="32"/>
  <c r="N31" i="32"/>
  <c r="M31" i="32"/>
  <c r="L31" i="32"/>
  <c r="Q31" i="32" s="1"/>
  <c r="R31" i="32" s="1"/>
  <c r="K31" i="32"/>
  <c r="J31" i="32"/>
  <c r="I31" i="32"/>
  <c r="E50" i="33" s="1"/>
  <c r="H31" i="32"/>
  <c r="D50" i="33" s="1"/>
  <c r="G31" i="32"/>
  <c r="C50" i="33" s="1"/>
  <c r="F31" i="32"/>
  <c r="B50" i="33" s="1"/>
  <c r="E31" i="32"/>
  <c r="D31" i="32"/>
  <c r="C31" i="32"/>
  <c r="B31" i="32"/>
  <c r="P30" i="32"/>
  <c r="O30" i="32"/>
  <c r="N30" i="32"/>
  <c r="M30" i="32"/>
  <c r="Q30" i="32" s="1"/>
  <c r="R30" i="32" s="1"/>
  <c r="L30" i="32"/>
  <c r="K30" i="32"/>
  <c r="J30" i="32"/>
  <c r="I30" i="32"/>
  <c r="E49" i="33" s="1"/>
  <c r="H30" i="32"/>
  <c r="D49" i="33" s="1"/>
  <c r="G30" i="32"/>
  <c r="C49" i="33" s="1"/>
  <c r="F30" i="32"/>
  <c r="B49" i="33" s="1"/>
  <c r="E30" i="32"/>
  <c r="D30" i="32"/>
  <c r="C30" i="32"/>
  <c r="B30" i="32"/>
  <c r="P29" i="32"/>
  <c r="Q29" i="32" s="1"/>
  <c r="R29" i="32" s="1"/>
  <c r="O29" i="32"/>
  <c r="N29" i="32"/>
  <c r="M29" i="32"/>
  <c r="L29" i="32"/>
  <c r="K29" i="32"/>
  <c r="J29" i="32"/>
  <c r="I29" i="32"/>
  <c r="E48" i="33" s="1"/>
  <c r="H29" i="32"/>
  <c r="D48" i="33" s="1"/>
  <c r="G29" i="32"/>
  <c r="C48" i="33" s="1"/>
  <c r="F29" i="32"/>
  <c r="B48" i="33" s="1"/>
  <c r="E29" i="32"/>
  <c r="D29" i="32"/>
  <c r="C29" i="32"/>
  <c r="B29" i="32"/>
  <c r="P28" i="32"/>
  <c r="O28" i="32"/>
  <c r="N28" i="32"/>
  <c r="M28" i="32"/>
  <c r="L28" i="32"/>
  <c r="Q28" i="32" s="1"/>
  <c r="R28" i="32" s="1"/>
  <c r="K28" i="32"/>
  <c r="J28" i="32"/>
  <c r="I28" i="32"/>
  <c r="E47" i="33" s="1"/>
  <c r="H28" i="32"/>
  <c r="D47" i="33" s="1"/>
  <c r="G28" i="32"/>
  <c r="C47" i="33" s="1"/>
  <c r="F28" i="32"/>
  <c r="B47" i="33" s="1"/>
  <c r="E28" i="32"/>
  <c r="D28" i="32"/>
  <c r="C28" i="32"/>
  <c r="B28" i="32"/>
  <c r="P27" i="32"/>
  <c r="O27" i="32"/>
  <c r="N27" i="32"/>
  <c r="M27" i="32"/>
  <c r="L27" i="32"/>
  <c r="Q27" i="32" s="1"/>
  <c r="R27" i="32" s="1"/>
  <c r="K27" i="32"/>
  <c r="J27" i="32"/>
  <c r="I27" i="32"/>
  <c r="E46" i="33" s="1"/>
  <c r="H27" i="32"/>
  <c r="D46" i="33" s="1"/>
  <c r="G27" i="32"/>
  <c r="C46" i="33" s="1"/>
  <c r="F27" i="32"/>
  <c r="B46" i="33" s="1"/>
  <c r="E27" i="32"/>
  <c r="D27" i="32"/>
  <c r="C27" i="32"/>
  <c r="B27" i="32"/>
  <c r="P26" i="32"/>
  <c r="O26" i="32"/>
  <c r="N26" i="32"/>
  <c r="M26" i="32"/>
  <c r="L26" i="32"/>
  <c r="Q26" i="32" s="1"/>
  <c r="R26" i="32" s="1"/>
  <c r="K26" i="32"/>
  <c r="J26" i="32"/>
  <c r="I26" i="32"/>
  <c r="E45" i="33" s="1"/>
  <c r="H26" i="32"/>
  <c r="D45" i="33" s="1"/>
  <c r="G26" i="32"/>
  <c r="C45" i="33" s="1"/>
  <c r="F26" i="32"/>
  <c r="B45" i="33" s="1"/>
  <c r="E26" i="32"/>
  <c r="D26" i="32"/>
  <c r="C26" i="32"/>
  <c r="B26" i="32"/>
  <c r="P25" i="32"/>
  <c r="O25" i="32"/>
  <c r="N25" i="32"/>
  <c r="M25" i="32"/>
  <c r="L25" i="32"/>
  <c r="Q25" i="32" s="1"/>
  <c r="R25" i="32" s="1"/>
  <c r="K25" i="32"/>
  <c r="J25" i="32"/>
  <c r="I25" i="32"/>
  <c r="E44" i="33" s="1"/>
  <c r="H25" i="32"/>
  <c r="D44" i="33" s="1"/>
  <c r="G25" i="32"/>
  <c r="C44" i="33" s="1"/>
  <c r="F25" i="32"/>
  <c r="B44" i="33" s="1"/>
  <c r="E25" i="32"/>
  <c r="D25" i="32"/>
  <c r="C25" i="32"/>
  <c r="B25" i="32"/>
  <c r="P24" i="32"/>
  <c r="O24" i="32"/>
  <c r="Q24" i="32" s="1"/>
  <c r="R24" i="32" s="1"/>
  <c r="N24" i="32"/>
  <c r="M24" i="32"/>
  <c r="L24" i="32"/>
  <c r="K24" i="32"/>
  <c r="J24" i="32"/>
  <c r="I24" i="32"/>
  <c r="E43" i="33" s="1"/>
  <c r="H24" i="32"/>
  <c r="D43" i="33" s="1"/>
  <c r="G24" i="32"/>
  <c r="C43" i="33" s="1"/>
  <c r="F24" i="32"/>
  <c r="B43" i="33" s="1"/>
  <c r="E24" i="32"/>
  <c r="D24" i="32"/>
  <c r="C24" i="32"/>
  <c r="B24" i="32"/>
  <c r="P23" i="32"/>
  <c r="O23" i="32"/>
  <c r="N23" i="32"/>
  <c r="M23" i="32"/>
  <c r="L23" i="32"/>
  <c r="Q23" i="32" s="1"/>
  <c r="R23" i="32" s="1"/>
  <c r="K23" i="32"/>
  <c r="J23" i="32"/>
  <c r="I23" i="32"/>
  <c r="E42" i="33" s="1"/>
  <c r="H23" i="32"/>
  <c r="D42" i="33" s="1"/>
  <c r="G23" i="32"/>
  <c r="C42" i="33" s="1"/>
  <c r="F23" i="32"/>
  <c r="B42" i="33" s="1"/>
  <c r="E23" i="32"/>
  <c r="D23" i="32"/>
  <c r="C23" i="32"/>
  <c r="B23" i="32"/>
  <c r="Q22" i="32"/>
  <c r="R22" i="32" s="1"/>
  <c r="P22" i="32"/>
  <c r="O22" i="32"/>
  <c r="N22" i="32"/>
  <c r="M22" i="32"/>
  <c r="L22" i="32"/>
  <c r="K22" i="32"/>
  <c r="J22" i="32"/>
  <c r="I22" i="32"/>
  <c r="E41" i="33" s="1"/>
  <c r="H22" i="32"/>
  <c r="D41" i="33" s="1"/>
  <c r="G22" i="32"/>
  <c r="C41" i="33" s="1"/>
  <c r="F22" i="32"/>
  <c r="B41" i="33" s="1"/>
  <c r="E22" i="32"/>
  <c r="D22" i="32"/>
  <c r="C22" i="32"/>
  <c r="B22" i="32"/>
  <c r="P21" i="32"/>
  <c r="O21" i="32"/>
  <c r="N21" i="32"/>
  <c r="M21" i="32"/>
  <c r="L21" i="32"/>
  <c r="Q21" i="32" s="1"/>
  <c r="R21" i="32" s="1"/>
  <c r="K21" i="32"/>
  <c r="J21" i="32"/>
  <c r="I21" i="32"/>
  <c r="E40" i="33" s="1"/>
  <c r="H21" i="32"/>
  <c r="D40" i="33" s="1"/>
  <c r="G21" i="32"/>
  <c r="C40" i="33" s="1"/>
  <c r="F21" i="32"/>
  <c r="B40" i="33" s="1"/>
  <c r="E21" i="32"/>
  <c r="D21" i="32"/>
  <c r="C21" i="32"/>
  <c r="B21" i="32"/>
  <c r="P20" i="32"/>
  <c r="O20" i="32"/>
  <c r="N20" i="32"/>
  <c r="M20" i="32"/>
  <c r="L20" i="32"/>
  <c r="Q20" i="32" s="1"/>
  <c r="R20" i="32" s="1"/>
  <c r="K20" i="32"/>
  <c r="J20" i="32"/>
  <c r="I20" i="32"/>
  <c r="E39" i="33" s="1"/>
  <c r="H20" i="32"/>
  <c r="D39" i="33" s="1"/>
  <c r="G20" i="32"/>
  <c r="C39" i="33" s="1"/>
  <c r="F20" i="32"/>
  <c r="B39" i="33" s="1"/>
  <c r="E20" i="32"/>
  <c r="D20" i="32"/>
  <c r="C20" i="32"/>
  <c r="B20" i="32"/>
  <c r="P19" i="32"/>
  <c r="O19" i="32"/>
  <c r="N19" i="32"/>
  <c r="M19" i="32"/>
  <c r="L19" i="32"/>
  <c r="Q19" i="32" s="1"/>
  <c r="R19" i="32" s="1"/>
  <c r="K19" i="32"/>
  <c r="J19" i="32"/>
  <c r="I19" i="32"/>
  <c r="E38" i="33" s="1"/>
  <c r="H19" i="32"/>
  <c r="D38" i="33" s="1"/>
  <c r="G19" i="32"/>
  <c r="C38" i="33" s="1"/>
  <c r="F19" i="32"/>
  <c r="B38" i="33" s="1"/>
  <c r="E19" i="32"/>
  <c r="D19" i="32"/>
  <c r="C19" i="32"/>
  <c r="B19" i="32"/>
  <c r="P18" i="32"/>
  <c r="O18" i="32"/>
  <c r="N18" i="32"/>
  <c r="M18" i="32"/>
  <c r="L18" i="32"/>
  <c r="Q18" i="32" s="1"/>
  <c r="R18" i="32" s="1"/>
  <c r="K18" i="32"/>
  <c r="J18" i="32"/>
  <c r="I18" i="32"/>
  <c r="E37" i="33" s="1"/>
  <c r="H18" i="32"/>
  <c r="D37" i="33" s="1"/>
  <c r="G18" i="32"/>
  <c r="C37" i="33" s="1"/>
  <c r="F18" i="32"/>
  <c r="B37" i="33" s="1"/>
  <c r="E18" i="32"/>
  <c r="D18" i="32"/>
  <c r="C18" i="32"/>
  <c r="B18" i="32"/>
  <c r="P17" i="32"/>
  <c r="Q17" i="32" s="1"/>
  <c r="R17" i="32" s="1"/>
  <c r="O17" i="32"/>
  <c r="N17" i="32"/>
  <c r="M17" i="32"/>
  <c r="L17" i="32"/>
  <c r="K17" i="32"/>
  <c r="J17" i="32"/>
  <c r="I17" i="32"/>
  <c r="E36" i="33" s="1"/>
  <c r="H17" i="32"/>
  <c r="D36" i="33" s="1"/>
  <c r="G17" i="32"/>
  <c r="C36" i="33" s="1"/>
  <c r="F17" i="32"/>
  <c r="B36" i="33" s="1"/>
  <c r="E17" i="32"/>
  <c r="D17" i="32"/>
  <c r="C17" i="32"/>
  <c r="B17" i="32"/>
  <c r="P16" i="32"/>
  <c r="O16" i="32"/>
  <c r="N16" i="32"/>
  <c r="M16" i="32"/>
  <c r="L16" i="32"/>
  <c r="Q16" i="32" s="1"/>
  <c r="R16" i="32" s="1"/>
  <c r="K16" i="32"/>
  <c r="J16" i="32"/>
  <c r="I16" i="32"/>
  <c r="E35" i="33" s="1"/>
  <c r="H16" i="32"/>
  <c r="D35" i="33" s="1"/>
  <c r="G16" i="32"/>
  <c r="C35" i="33" s="1"/>
  <c r="F16" i="32"/>
  <c r="B35" i="33" s="1"/>
  <c r="E16" i="32"/>
  <c r="D16" i="32"/>
  <c r="C16" i="32"/>
  <c r="B16" i="32"/>
  <c r="P15" i="32"/>
  <c r="O15" i="32"/>
  <c r="N15" i="32"/>
  <c r="M15" i="32"/>
  <c r="L15" i="32"/>
  <c r="Q15" i="32" s="1"/>
  <c r="R15" i="32" s="1"/>
  <c r="K15" i="32"/>
  <c r="J15" i="32"/>
  <c r="I15" i="32"/>
  <c r="E34" i="33" s="1"/>
  <c r="H15" i="32"/>
  <c r="D34" i="33" s="1"/>
  <c r="G15" i="32"/>
  <c r="C34" i="33" s="1"/>
  <c r="F15" i="32"/>
  <c r="B34" i="33" s="1"/>
  <c r="E15" i="32"/>
  <c r="D15" i="32"/>
  <c r="C15" i="32"/>
  <c r="B15" i="32"/>
  <c r="P14" i="32"/>
  <c r="O14" i="32"/>
  <c r="N14" i="32"/>
  <c r="M14" i="32"/>
  <c r="L14" i="32"/>
  <c r="Q14" i="32" s="1"/>
  <c r="R14" i="32" s="1"/>
  <c r="K14" i="32"/>
  <c r="J14" i="32"/>
  <c r="I14" i="32"/>
  <c r="E33" i="33" s="1"/>
  <c r="H14" i="32"/>
  <c r="D33" i="33" s="1"/>
  <c r="G14" i="32"/>
  <c r="C33" i="33" s="1"/>
  <c r="F14" i="32"/>
  <c r="B33" i="33" s="1"/>
  <c r="E14" i="32"/>
  <c r="D14" i="32"/>
  <c r="C14" i="32"/>
  <c r="B14" i="32"/>
  <c r="P13" i="32"/>
  <c r="O13" i="32"/>
  <c r="N13" i="32"/>
  <c r="M13" i="32"/>
  <c r="L13" i="32"/>
  <c r="Q13" i="32" s="1"/>
  <c r="R13" i="32" s="1"/>
  <c r="K13" i="32"/>
  <c r="J13" i="32"/>
  <c r="I13" i="32"/>
  <c r="E32" i="33" s="1"/>
  <c r="H13" i="32"/>
  <c r="D32" i="33" s="1"/>
  <c r="G13" i="32"/>
  <c r="C32" i="33" s="1"/>
  <c r="F13" i="32"/>
  <c r="B32" i="33" s="1"/>
  <c r="E13" i="32"/>
  <c r="D13" i="32"/>
  <c r="C13" i="32"/>
  <c r="B13" i="32"/>
  <c r="P12" i="32"/>
  <c r="O12" i="32"/>
  <c r="Q12" i="32" s="1"/>
  <c r="R12" i="32" s="1"/>
  <c r="N12" i="32"/>
  <c r="M12" i="32"/>
  <c r="L12" i="32"/>
  <c r="K12" i="32"/>
  <c r="J12" i="32"/>
  <c r="I12" i="32"/>
  <c r="E31" i="33" s="1"/>
  <c r="H12" i="32"/>
  <c r="D31" i="33" s="1"/>
  <c r="G12" i="32"/>
  <c r="C31" i="33" s="1"/>
  <c r="F12" i="32"/>
  <c r="B31" i="33" s="1"/>
  <c r="E12" i="32"/>
  <c r="D12" i="32"/>
  <c r="C12" i="32"/>
  <c r="B12" i="32"/>
  <c r="P11" i="32"/>
  <c r="O11" i="32"/>
  <c r="N11" i="32"/>
  <c r="M11" i="32"/>
  <c r="L11" i="32"/>
  <c r="Q11" i="32" s="1"/>
  <c r="R11" i="32" s="1"/>
  <c r="K11" i="32"/>
  <c r="J11" i="32"/>
  <c r="I11" i="32"/>
  <c r="E30" i="33" s="1"/>
  <c r="H11" i="32"/>
  <c r="D30" i="33" s="1"/>
  <c r="G11" i="32"/>
  <c r="C30" i="33" s="1"/>
  <c r="F11" i="32"/>
  <c r="B30" i="33" s="1"/>
  <c r="E11" i="32"/>
  <c r="D11" i="32"/>
  <c r="C11" i="32"/>
  <c r="B11" i="32"/>
  <c r="Q10" i="32"/>
  <c r="R10" i="32" s="1"/>
  <c r="P10" i="32"/>
  <c r="O10" i="32"/>
  <c r="N10" i="32"/>
  <c r="M10" i="32"/>
  <c r="L10" i="32"/>
  <c r="K10" i="32"/>
  <c r="J10" i="32"/>
  <c r="I10" i="32"/>
  <c r="E29" i="33" s="1"/>
  <c r="H10" i="32"/>
  <c r="D29" i="33" s="1"/>
  <c r="G10" i="32"/>
  <c r="C29" i="33" s="1"/>
  <c r="F10" i="32"/>
  <c r="B29" i="33" s="1"/>
  <c r="E10" i="32"/>
  <c r="D10" i="32"/>
  <c r="C10" i="32"/>
  <c r="B10" i="32"/>
  <c r="P9" i="32"/>
  <c r="O9" i="32"/>
  <c r="N9" i="32"/>
  <c r="M9" i="32"/>
  <c r="L9" i="32"/>
  <c r="Q9" i="32" s="1"/>
  <c r="R9" i="32" s="1"/>
  <c r="K9" i="32"/>
  <c r="J9" i="32"/>
  <c r="I9" i="32"/>
  <c r="E28" i="33" s="1"/>
  <c r="H9" i="32"/>
  <c r="D28" i="33" s="1"/>
  <c r="G9" i="32"/>
  <c r="C28" i="33" s="1"/>
  <c r="F9" i="32"/>
  <c r="B28" i="33" s="1"/>
  <c r="E9" i="32"/>
  <c r="D9" i="32"/>
  <c r="C9" i="32"/>
  <c r="B9" i="32"/>
  <c r="P8" i="32"/>
  <c r="O8" i="32"/>
  <c r="N8" i="32"/>
  <c r="M8" i="32"/>
  <c r="L8" i="32"/>
  <c r="Q8" i="32" s="1"/>
  <c r="R8" i="32" s="1"/>
  <c r="K8" i="32"/>
  <c r="J8" i="32"/>
  <c r="I8" i="32"/>
  <c r="E27" i="33" s="1"/>
  <c r="H8" i="32"/>
  <c r="D27" i="33" s="1"/>
  <c r="G8" i="32"/>
  <c r="C27" i="33" s="1"/>
  <c r="F8" i="32"/>
  <c r="B27" i="33" s="1"/>
  <c r="E8" i="32"/>
  <c r="D8" i="32"/>
  <c r="C8" i="32"/>
  <c r="B8" i="32"/>
  <c r="P7" i="32"/>
  <c r="O7" i="32"/>
  <c r="N7" i="32"/>
  <c r="M7" i="32"/>
  <c r="L7" i="32"/>
  <c r="Q7" i="32" s="1"/>
  <c r="R7" i="32" s="1"/>
  <c r="K7" i="32"/>
  <c r="J7" i="32"/>
  <c r="I7" i="32"/>
  <c r="E26" i="33" s="1"/>
  <c r="H7" i="32"/>
  <c r="D26" i="33" s="1"/>
  <c r="G7" i="32"/>
  <c r="C26" i="33" s="1"/>
  <c r="F7" i="32"/>
  <c r="B26" i="33" s="1"/>
  <c r="E7" i="32"/>
  <c r="D7" i="32"/>
  <c r="C7" i="32"/>
  <c r="B7" i="32"/>
  <c r="P6" i="32"/>
  <c r="O6" i="32"/>
  <c r="N6" i="32"/>
  <c r="M6" i="32"/>
  <c r="L6" i="32"/>
  <c r="Q6" i="32" s="1"/>
  <c r="R6" i="32" s="1"/>
  <c r="K6" i="32"/>
  <c r="J6" i="32"/>
  <c r="I6" i="32"/>
  <c r="E25" i="33" s="1"/>
  <c r="H6" i="32"/>
  <c r="D25" i="33" s="1"/>
  <c r="G6" i="32"/>
  <c r="C25" i="33" s="1"/>
  <c r="F6" i="32"/>
  <c r="B25" i="33" s="1"/>
  <c r="E6" i="32"/>
  <c r="D6" i="32"/>
  <c r="C6" i="32"/>
  <c r="B6" i="32"/>
  <c r="P5" i="32"/>
  <c r="Q5" i="32" s="1"/>
  <c r="R5" i="32" s="1"/>
  <c r="O5" i="32"/>
  <c r="N5" i="32"/>
  <c r="M5" i="32"/>
  <c r="L5" i="32"/>
  <c r="K5" i="32"/>
  <c r="J5" i="32"/>
  <c r="I5" i="32"/>
  <c r="E24" i="33" s="1"/>
  <c r="H5" i="32"/>
  <c r="D24" i="33" s="1"/>
  <c r="G5" i="32"/>
  <c r="C24" i="33" s="1"/>
  <c r="F5" i="32"/>
  <c r="B24" i="33" s="1"/>
  <c r="E5" i="32"/>
  <c r="D5" i="32"/>
  <c r="C5" i="32"/>
  <c r="B5" i="32"/>
  <c r="P4" i="32"/>
  <c r="O4" i="32"/>
  <c r="N4" i="32"/>
  <c r="M4" i="32"/>
  <c r="L4" i="32"/>
  <c r="Q4" i="32" s="1"/>
  <c r="R4" i="32" s="1"/>
  <c r="K4" i="32"/>
  <c r="J4" i="32"/>
  <c r="I4" i="32"/>
  <c r="E23" i="33" s="1"/>
  <c r="H4" i="32"/>
  <c r="D23" i="33" s="1"/>
  <c r="G4" i="32"/>
  <c r="C23" i="33" s="1"/>
  <c r="F4" i="32"/>
  <c r="B23" i="33" s="1"/>
  <c r="E4" i="32"/>
  <c r="D4" i="32"/>
  <c r="C4" i="32"/>
  <c r="B4" i="32"/>
  <c r="P3" i="32"/>
  <c r="O3" i="32"/>
  <c r="N3" i="32"/>
  <c r="M3" i="32"/>
  <c r="L3" i="32"/>
  <c r="Q3" i="32" s="1"/>
  <c r="R3" i="32" s="1"/>
  <c r="K3" i="32"/>
  <c r="J3" i="32"/>
  <c r="I3" i="32"/>
  <c r="E22" i="33" s="1"/>
  <c r="H3" i="32"/>
  <c r="D22" i="33" s="1"/>
  <c r="G3" i="32"/>
  <c r="C22" i="33" s="1"/>
  <c r="F3" i="32"/>
  <c r="B22" i="33" s="1"/>
  <c r="E3" i="32"/>
  <c r="D3" i="32"/>
  <c r="C3" i="32"/>
  <c r="B3" i="32"/>
  <c r="P2" i="32"/>
  <c r="M11" i="33" s="1"/>
  <c r="S39" i="33" s="1"/>
  <c r="O2" i="32"/>
  <c r="J11" i="33" s="1"/>
  <c r="S38" i="33" s="1"/>
  <c r="N2" i="32"/>
  <c r="G11" i="33" s="1"/>
  <c r="S37" i="33" s="1"/>
  <c r="M2" i="32"/>
  <c r="D11" i="33" s="1"/>
  <c r="S36" i="33" s="1"/>
  <c r="L2" i="32"/>
  <c r="K2" i="32"/>
  <c r="J2" i="32"/>
  <c r="I2" i="32"/>
  <c r="L16" i="33" s="1"/>
  <c r="H2" i="32"/>
  <c r="D21" i="33" s="1"/>
  <c r="G2" i="32"/>
  <c r="C21" i="33" s="1"/>
  <c r="F2" i="32"/>
  <c r="B21" i="33" s="1"/>
  <c r="E2" i="32"/>
  <c r="D2" i="32"/>
  <c r="C2" i="32"/>
  <c r="B2" i="32"/>
  <c r="Q2" i="32" l="1"/>
  <c r="R2" i="32" s="1"/>
  <c r="T2" i="32" s="1"/>
  <c r="T19" i="32"/>
  <c r="H38" i="33" s="1"/>
  <c r="S19" i="32"/>
  <c r="G38" i="33" s="1"/>
  <c r="F38" i="33"/>
  <c r="S19" i="33"/>
  <c r="F22" i="33"/>
  <c r="T3" i="32"/>
  <c r="H22" i="33" s="1"/>
  <c r="S3" i="32"/>
  <c r="G22" i="33" s="1"/>
  <c r="S3" i="33"/>
  <c r="S27" i="33"/>
  <c r="T27" i="32"/>
  <c r="H46" i="33" s="1"/>
  <c r="S27" i="32"/>
  <c r="G46" i="33" s="1"/>
  <c r="F46" i="33"/>
  <c r="T31" i="32"/>
  <c r="H50" i="33" s="1"/>
  <c r="S31" i="33"/>
  <c r="S31" i="32"/>
  <c r="G50" i="33" s="1"/>
  <c r="F50" i="33"/>
  <c r="F30" i="33"/>
  <c r="S11" i="33"/>
  <c r="T11" i="32"/>
  <c r="H30" i="33" s="1"/>
  <c r="S11" i="32"/>
  <c r="G30" i="33" s="1"/>
  <c r="S15" i="33"/>
  <c r="S15" i="32"/>
  <c r="G34" i="33" s="1"/>
  <c r="T15" i="32"/>
  <c r="H34" i="33" s="1"/>
  <c r="F34" i="33"/>
  <c r="F23" i="33"/>
  <c r="S4" i="33"/>
  <c r="T4" i="32"/>
  <c r="H23" i="33" s="1"/>
  <c r="S4" i="32"/>
  <c r="G23" i="33" s="1"/>
  <c r="F41" i="33"/>
  <c r="T22" i="32"/>
  <c r="H41" i="33" s="1"/>
  <c r="S22" i="33"/>
  <c r="S22" i="32"/>
  <c r="G41" i="33" s="1"/>
  <c r="F35" i="33"/>
  <c r="S16" i="33"/>
  <c r="T16" i="32"/>
  <c r="H35" i="33" s="1"/>
  <c r="S16" i="32"/>
  <c r="G35" i="33" s="1"/>
  <c r="S20" i="32"/>
  <c r="G39" i="33" s="1"/>
  <c r="S20" i="33"/>
  <c r="F39" i="33"/>
  <c r="T20" i="32"/>
  <c r="H39" i="33" s="1"/>
  <c r="T7" i="32"/>
  <c r="H26" i="33" s="1"/>
  <c r="S7" i="32"/>
  <c r="G26" i="33" s="1"/>
  <c r="F26" i="33"/>
  <c r="S7" i="33"/>
  <c r="S8" i="32"/>
  <c r="G27" i="33" s="1"/>
  <c r="S8" i="33"/>
  <c r="F27" i="33"/>
  <c r="T8" i="32"/>
  <c r="H27" i="33" s="1"/>
  <c r="F47" i="33"/>
  <c r="S28" i="33"/>
  <c r="T28" i="32"/>
  <c r="H47" i="33" s="1"/>
  <c r="S28" i="32"/>
  <c r="G47" i="33" s="1"/>
  <c r="T10" i="32"/>
  <c r="H29" i="33" s="1"/>
  <c r="S10" i="32"/>
  <c r="G29" i="33" s="1"/>
  <c r="F29" i="33"/>
  <c r="S10" i="33"/>
  <c r="S9" i="33"/>
  <c r="F28" i="33"/>
  <c r="T9" i="32"/>
  <c r="H28" i="33" s="1"/>
  <c r="S9" i="32"/>
  <c r="G28" i="33" s="1"/>
  <c r="T13" i="32"/>
  <c r="H32" i="33" s="1"/>
  <c r="S13" i="33"/>
  <c r="F32" i="33"/>
  <c r="S13" i="32"/>
  <c r="G32" i="33" s="1"/>
  <c r="S21" i="33"/>
  <c r="F40" i="33"/>
  <c r="T21" i="32"/>
  <c r="H40" i="33" s="1"/>
  <c r="S21" i="32"/>
  <c r="G40" i="33" s="1"/>
  <c r="T12" i="32"/>
  <c r="H31" i="33" s="1"/>
  <c r="S12" i="32"/>
  <c r="G31" i="33" s="1"/>
  <c r="F31" i="33"/>
  <c r="S12" i="33"/>
  <c r="T24" i="32"/>
  <c r="H43" i="33" s="1"/>
  <c r="S24" i="32"/>
  <c r="G43" i="33" s="1"/>
  <c r="S24" i="33"/>
  <c r="F43" i="33"/>
  <c r="F44" i="33"/>
  <c r="S25" i="33"/>
  <c r="S25" i="32"/>
  <c r="G44" i="33" s="1"/>
  <c r="T25" i="32"/>
  <c r="H44" i="33" s="1"/>
  <c r="S23" i="33"/>
  <c r="F42" i="33"/>
  <c r="T23" i="32"/>
  <c r="H42" i="33" s="1"/>
  <c r="S23" i="32"/>
  <c r="G42" i="33" s="1"/>
  <c r="S6" i="33"/>
  <c r="T6" i="32"/>
  <c r="H25" i="33" s="1"/>
  <c r="S6" i="32"/>
  <c r="G25" i="33" s="1"/>
  <c r="F25" i="33"/>
  <c r="F37" i="33"/>
  <c r="S18" i="33"/>
  <c r="T18" i="32"/>
  <c r="H37" i="33" s="1"/>
  <c r="S18" i="32"/>
  <c r="G37" i="33" s="1"/>
  <c r="T5" i="32"/>
  <c r="H24" i="33" s="1"/>
  <c r="S5" i="32"/>
  <c r="G24" i="33" s="1"/>
  <c r="F24" i="33"/>
  <c r="S5" i="33"/>
  <c r="S14" i="32"/>
  <c r="G33" i="33" s="1"/>
  <c r="S14" i="33"/>
  <c r="F33" i="33"/>
  <c r="T14" i="32"/>
  <c r="H33" i="33" s="1"/>
  <c r="T17" i="32"/>
  <c r="H36" i="33" s="1"/>
  <c r="S17" i="32"/>
  <c r="G36" i="33" s="1"/>
  <c r="S17" i="33"/>
  <c r="F36" i="33"/>
  <c r="S26" i="32"/>
  <c r="G45" i="33" s="1"/>
  <c r="F45" i="33"/>
  <c r="S26" i="33"/>
  <c r="T26" i="32"/>
  <c r="H45" i="33" s="1"/>
  <c r="T29" i="32"/>
  <c r="H48" i="33" s="1"/>
  <c r="S29" i="32"/>
  <c r="G48" i="33" s="1"/>
  <c r="F48" i="33"/>
  <c r="S29" i="33"/>
  <c r="T30" i="32"/>
  <c r="H49" i="33" s="1"/>
  <c r="S30" i="32"/>
  <c r="G49" i="33" s="1"/>
  <c r="F49" i="33"/>
  <c r="S30" i="33"/>
  <c r="E21" i="33"/>
  <c r="A11" i="33"/>
  <c r="S35" i="33" s="1"/>
  <c r="M7" i="33" l="1"/>
  <c r="A16" i="33"/>
  <c r="S2" i="33"/>
  <c r="F21" i="33"/>
  <c r="S2" i="32"/>
  <c r="I7" i="33"/>
  <c r="E7" i="33"/>
  <c r="A7" i="33"/>
  <c r="G21" i="33"/>
  <c r="D16" i="33"/>
  <c r="H21" i="33"/>
  <c r="G16" i="33"/>
</calcChain>
</file>

<file path=xl/sharedStrings.xml><?xml version="1.0" encoding="utf-8"?>
<sst xmlns="http://schemas.openxmlformats.org/spreadsheetml/2006/main" count="1695" uniqueCount="252">
  <si>
    <t>المحاور / Domains</t>
  </si>
  <si>
    <t>المعلمون / Teachers</t>
  </si>
  <si>
    <t>المرحلة / Phase</t>
  </si>
  <si>
    <t>الصف / Grade</t>
  </si>
  <si>
    <t>الشعبة / Section</t>
  </si>
  <si>
    <t>عدد الطلاب / No. of Students</t>
  </si>
  <si>
    <t>اليوم / Day</t>
  </si>
  <si>
    <t>التاريخ / Date</t>
  </si>
  <si>
    <t>مهارات القرن 21 / 21st Century Skills</t>
  </si>
  <si>
    <t>طريقة SIR / SIR Method</t>
  </si>
  <si>
    <t>المادة / Subject</t>
  </si>
  <si>
    <t>مصدر التقويم / Calendar Source</t>
  </si>
  <si>
    <t>معايير النجاح (HOTS) / Success Criteria (HOTS)</t>
  </si>
  <si>
    <t>الوحدة / Unit</t>
  </si>
  <si>
    <t>Default Group Prompt</t>
  </si>
  <si>
    <t>Default Differentiation Prompt</t>
  </si>
  <si>
    <t>Default Reflection Prompt</t>
  </si>
  <si>
    <t>الوحي الإلهي - القرآن الكريم / Divine Revelation - Holy Qur'an</t>
  </si>
  <si>
    <t>Ayman Abdalla</t>
  </si>
  <si>
    <t>رياض الأطفال / KG</t>
  </si>
  <si>
    <t>الروضة الأولى / KG1</t>
  </si>
  <si>
    <t>A</t>
  </si>
  <si>
    <t>الاثنين / Monday</t>
  </si>
  <si>
    <t>التفكير الناقد / Critical Thinking</t>
  </si>
  <si>
    <t>ذاتي / Self</t>
  </si>
  <si>
    <t>التربية الإسلامية / Islamic Education</t>
  </si>
  <si>
    <t>https://www.moe.gov.ae/en/guides/Pages/Academic-calendar-2026-2027.aspx</t>
  </si>
  <si>
    <t>الوحي الإلهي - القرآن الكريم | يُحلّل الطالب أداءه في التلاوة، ويُصحّح الأخطاء بما يحقق القراءة الصحيحة للآيات. / Divine Revelation - Holy Qur'an | The student analyzes recitation performance and corrects errors to achieve accurate Qur'anic reading.</t>
  </si>
  <si>
    <t>الوحدة الأولى / Unit 1</t>
  </si>
  <si>
    <t>المجموعة 1 / Group 1:
المجموعة 2 / Group 2:
المجموعة 3 / Group 3:
المجموعة 4 – إثراء / Group 4 – Extension:</t>
  </si>
  <si>
    <t>1.
2.
3.</t>
  </si>
  <si>
    <t>ما الذي نجح؟ ما الذي يحتاج إلى تعديل؟ وأي الطلاب يحتاجون إلى متابعة في الأسبوع المقبل.
What worked, what to adjust, which students need follow-up next week.</t>
  </si>
  <si>
    <t>الوحي الإلهي - الحديث الشريف / Divine Revelation - Prophetic Hadith</t>
  </si>
  <si>
    <t>Ahmed Al-Awadhi</t>
  </si>
  <si>
    <t>المرحلة الابتدائية / Elementary</t>
  </si>
  <si>
    <t>الروضة الثانية / KG2</t>
  </si>
  <si>
    <t>B</t>
  </si>
  <si>
    <t>الثلاثاء / Tuesday</t>
  </si>
  <si>
    <t>الإبداع / Creativity</t>
  </si>
  <si>
    <t>الأقران / Peer</t>
  </si>
  <si>
    <t>الوحي الإلهي - القرآن الكريم | يُطبّق الطالب أحكام التجويد في مواضعها، ويُبرّر سبب تطبيق الحكم في الآيات. / Divine Revelation - Holy Qur'an | The student applies Tajweed rules accurately and justifies why each rule is used in the verses.</t>
  </si>
  <si>
    <t>الوحدة الثانية / Unit 2</t>
  </si>
  <si>
    <t>العقيدة الإسلامية / Islamic Creed</t>
  </si>
  <si>
    <t>Mohamed Faheem</t>
  </si>
  <si>
    <t>المرحلة المتوسطة / Middle</t>
  </si>
  <si>
    <t>الصف الأول / Grade 1</t>
  </si>
  <si>
    <t>C</t>
  </si>
  <si>
    <t>الأربعاء / Wednesday</t>
  </si>
  <si>
    <t>التعاون / Collaboration</t>
  </si>
  <si>
    <t>المعلم / Teacher</t>
  </si>
  <si>
    <t>الوحي الإلهي - القرآن الكريم | يستظهر الطالب الآيات المقررة بدقة، ويُوظّف الحفظ في تفسير المعنى والاستدلال. / Divine Revelation - Holy Qur'an | The student memorizes the assigned verses accurately and uses memorization to explain meaning and support reasoning.</t>
  </si>
  <si>
    <t>الوحدة الثالثة / Unit 3</t>
  </si>
  <si>
    <t>قيم الإسلام وآدابه / Islamic Values and Manners</t>
  </si>
  <si>
    <t>Israa Ibrahim</t>
  </si>
  <si>
    <t>المرحلة الثانوية / High</t>
  </si>
  <si>
    <t>الصف الثاني / Grade 2</t>
  </si>
  <si>
    <t>D</t>
  </si>
  <si>
    <t>الخميس / Thursday</t>
  </si>
  <si>
    <t>التواصل / Communication</t>
  </si>
  <si>
    <t>تأمل / Reflection</t>
  </si>
  <si>
    <t>الوحي الإلهي - القرآن الكريم | يُفسّر الطالب الآيات في ضوء سياقها، ويستنتج الأفكار الرئيسة والمعاني الدالة عليها. / Divine Revelation - Holy Qur'an | The student interprets verses in context and infers their main ideas and significant meanings.</t>
  </si>
  <si>
    <t>الوحدة الرابعة / Unit 4</t>
  </si>
  <si>
    <t>أحكام الإسلام ومقاصده / Islamic Rulings and Objectives</t>
  </si>
  <si>
    <t>Hajar Ezzat</t>
  </si>
  <si>
    <t>الصف الثالث / Grade 3</t>
  </si>
  <si>
    <t>E</t>
  </si>
  <si>
    <t>الجمعة / Friday</t>
  </si>
  <si>
    <t>حل المشكلات / Problem Solving</t>
  </si>
  <si>
    <t>الوحي الإلهي - القرآن الكريم | يستنبط الطالب الهدايات والقيم من الآيات، ويُقيّم كيفية تطبيقها في مواقف حياتية معاصرة. / Divine Revelation - Holy Qur'an | The student derives guidance and values from the verses and evaluates how to apply them in contemporary life situations.</t>
  </si>
  <si>
    <t>الوحدة الخامسة / Unit 5</t>
  </si>
  <si>
    <t>السيرة والشخصيات / Prophetic Biography and Personalities</t>
  </si>
  <si>
    <t>Fatima Al-Mansouri</t>
  </si>
  <si>
    <t>الصف الرابع / Grade 4</t>
  </si>
  <si>
    <t>F</t>
  </si>
  <si>
    <t>اتخاذ القرار / Decision Making</t>
  </si>
  <si>
    <t>الوحي الإلهي - الحديث الشريف | يقرأ الطالب الحديث قراءة صحيحة، ثم يُحلّل ألفاظه وسياقه ليشرح معناه العام بأسلوبه. / Divine Revelation - Prophetic Hadith | The student reads the Hadith accurately, analyzes its wording and context, and explains its overall meaning in their own words.</t>
  </si>
  <si>
    <t>الوحدة السادسة / Unit 6</t>
  </si>
  <si>
    <t>الهوية والقضايا المعاصرة / Identity and Contemporary Issues</t>
  </si>
  <si>
    <t>Mohamed Joblan</t>
  </si>
  <si>
    <t>الصف الخامس / Grade 5</t>
  </si>
  <si>
    <t>G</t>
  </si>
  <si>
    <t>الابتكار / Innovation</t>
  </si>
  <si>
    <t>الوحي الإلهي - الحديث الشريف | يستنتج الطالب القيم والتوجيهات الواردة في الحديث، ويُبرّر استنتاجاته بأدلة من النص. / Divine Revelation - Prophetic Hadith | The student infers values and guidance from the Hadith and justifies conclusions with evidence from the text.</t>
  </si>
  <si>
    <t>الوحدة السابعة / Unit 7</t>
  </si>
  <si>
    <t>Khadija Mahmoud</t>
  </si>
  <si>
    <t>الصف السادس / Grade 6</t>
  </si>
  <si>
    <t>H</t>
  </si>
  <si>
    <t>التفكير التحليلي / Analytical Thinking</t>
  </si>
  <si>
    <t>الوحي الإلهي - الحديث الشريف | يُقارن الطالب بين مواقف حياتية مختلفة في ضوء توجيهات الحديث الشريف. / Divine Revelation - Prophetic Hadith | The student compares different life situations in light of the guidance of the Hadith.</t>
  </si>
  <si>
    <t>الوحدة الثامنة / Unit 8</t>
  </si>
  <si>
    <t>Aya Mohamed</t>
  </si>
  <si>
    <t>الصف السابع / Grade 7</t>
  </si>
  <si>
    <t>التعلم الذاتي / Self-Directed Learning</t>
  </si>
  <si>
    <t>الوحي الإلهي - الحديث الشريف | يُقيّم الطالب سلوكًا أو موقفًا معاصرًا وفق ما يرشد إليه الحديث، ويُبرّر حكمه. / Divine Revelation - Prophetic Hadith | The student evaluates a contemporary behavior or situation using the guidance of the Hadith and justifies the judgment.</t>
  </si>
  <si>
    <t>الوحدة التاسعة / Unit 9</t>
  </si>
  <si>
    <t>الصف الثامن / Grade 8</t>
  </si>
  <si>
    <t>المبادرة / Initiative</t>
  </si>
  <si>
    <t>الوحي الإلهي - الحديث الشريف | يُصمّم الطالب تطبيقًا عمليًا يحوّل قيمة من قيم الحديث إلى ممارسة في حياته اليومية. / Divine Revelation - Prophetic Hadith | The student designs a practical application that turns a value from the Hadith into daily practice.</t>
  </si>
  <si>
    <t>الوحدة العاشرة / Unit 10</t>
  </si>
  <si>
    <t>الصف التاسع / Grade 9</t>
  </si>
  <si>
    <t>القيادة / Leadership</t>
  </si>
  <si>
    <t>العقيدة الإسلامية | يُحلّل الطالب أركان الإيمان، ويبيّن العلاقات بينها وأثرها في بناء التصور الإسلامي. / Islamic Creed | The student analyzes the pillars of faith, explains their connections, and evaluates their impact on an Islamic worldview.</t>
  </si>
  <si>
    <t>الصف العاشر / Grade 10</t>
  </si>
  <si>
    <t>المرونة والتكيف / Flexibility &amp; Adaptability</t>
  </si>
  <si>
    <t>العقيدة الإسلامية | يستدل الطالب على حقائق الإيمان بأدلة مناسبة، ويُبرّر صحة استدلاله. / Islamic Creed | The student supports truths of faith with appropriate evidence and justifies the validity of the reasoning.</t>
  </si>
  <si>
    <t>الصف الحادي عشر / Grade 11</t>
  </si>
  <si>
    <t>الثقافة الرقمية / Digital Literacy</t>
  </si>
  <si>
    <t>العقيدة الإسلامية | يُقيّم الطالب أثر العقيدة في السلوك والطمأنينة وتحمل المسؤولية في مواقف واقعية. / Islamic Creed | The student evaluates the impact of faith on behavior, inner peace, and responsibility in real-life situations.</t>
  </si>
  <si>
    <t>الصف الثاني عشر / Grade 12</t>
  </si>
  <si>
    <t>الثقافة المعلوماتية / Information Literacy</t>
  </si>
  <si>
    <t>العقيدة الإسلامية | ينقد الطالب مفهومًا خاطئًا مرتبطًا بالعقيدة، ويصححه بالحجة والاعتدال. / Islamic Creed | The student critiques a misconception related to faith and corrects it using evidence and moderation.</t>
  </si>
  <si>
    <t>الثقافة الإعلامية / Media Literacy</t>
  </si>
  <si>
    <t>العقيدة الإسلامية | يُوظّف الطالب مبادئ العقيدة في اتخاذ موقف متزن تجاه قضية حياتية أو فكرية. / Islamic Creed | The student applies principles of Islamic creed to form a balanced position on a life or intellectual issue.</t>
  </si>
  <si>
    <t>الإنتاجية والمساءلة / Productivity &amp; Accountability</t>
  </si>
  <si>
    <t>قيم الإسلام وآدابه | يُحلّل الطالب مواقف حياتية لتحديد القيم الإسلامية الظاهرة فيها ومدى تحققها. / Islamic Values and Manners | The student analyzes life situations to identify the Islamic values present and judge the extent to which they are demonstrated.</t>
  </si>
  <si>
    <t>المهارات الاجتماعية والثقافية / Social &amp; Cross-Cultural Skills</t>
  </si>
  <si>
    <t>قيم الإسلام وآدابه | يُقارن الطالب بين بدائل سلوكية، ويُبرّر الاختيار الأكثر اتساقًا مع الصدق والأمانة والتسامح والرحمة والتعاون. / Islamic Values and Manners | The student compares behavioral alternatives and justifies the choice most consistent with honesty, trustworthiness, tolerance, mercy, and cooperation.</t>
  </si>
  <si>
    <t>قيم الإسلام وآدابه | يُقيّم الطالب سلوكًا في ضوء احترام الوالدين وكبار السن وأصحاب الثقافات المختلفة. / Islamic Values and Manners | The student evaluates behavior in light of respect for parents, elders, and people from different cultures.</t>
  </si>
  <si>
    <t>قيم الإسلام وآدابه | يُصمّم الطالب استجابة عملية تعكس المسؤولية والانضباط والإيجابية في موقف واقعي. / Islamic Values and Manners | The student designs a practical response that demonstrates responsibility, self-discipline, and positivity in a real-life situation.</t>
  </si>
  <si>
    <t>قيم الإسلام وآدابه | يحوّل الطالب قيمة إسلامية إلى ممارسة أو مبادرة قابلة للتطبيق في حياته اليومية. / Islamic Values and Manners | The student transforms an Islamic value into a practical habit or initiative that can be applied in daily life.</t>
  </si>
  <si>
    <t>أحكام الإسلام ومقاصده | يُحلّل الطالب خطوات العبادة أو الحكم الشرعي، ويُميّز الأداء الصحيح من غير الصحيح. / Islamic Rulings and Objectives | The student analyzes the steps of an act of worship or a legal ruling and distinguishes correct from incorrect practice.</t>
  </si>
  <si>
    <t>أحكام الإسلام ومقاصده | يُطبّق الطالب أحكام الطهارة والصلاة والصيام والزكاة والحج تطبيقًا صحيحًا في مواقف عملية. / Islamic Rulings and Objectives | The student accurately applies the rulings of purification, prayer, fasting, Zakat, and Hajj in practical situations.</t>
  </si>
  <si>
    <t>أحكام الإسلام ومقاصده | يستنتج الطالب مقاصد الشريعة من الأحكام، ويربطها بحفظ الدين والنفس والعقل والنسل والمال. / Islamic Rulings and Objectives | The student infers the objectives of Sharia from rulings and connects them to preserving religion, life, intellect, lineage, and wealth.</t>
  </si>
  <si>
    <t>أحكام الإسلام ومقاصده | يُقيّم الطالب موقفًا معاصرًا في ضوء الحكم الشرعي ومقصده، ويُبرّر حكمه. / Islamic Rulings and Objectives | The student evaluates a contemporary situation in light of the relevant Islamic ruling and its objective, and justifies the judgment.</t>
  </si>
  <si>
    <t>أحكام الإسلام ومقاصده | يُوظّف الطالب الأحكام والمقاصد الشرعية لاقتراح حل متزن لموقف معاصر. / Islamic Rulings and Objectives | The student applies Islamic rulings and objectives to propose a balanced solution to a contemporary situation.</t>
  </si>
  <si>
    <t>السيرة والشخصيات | يُحلّل الطالب موقفًا من السيرة النبوية، ويستنتج دوافعه ونتائجه ودروسه. / Prophetic Biography and Personalities | The student analyzes an event from the Prophetic biography and infers its motives, outcomes, and lessons.</t>
  </si>
  <si>
    <t>السيرة والشخصيات | يُقارن الطالب بين مواقف للرسول ﷺ والصحابة والشخصيات الإسلامية المؤثرة، ويستخلص السمات القيادية والأخلاقية. / Prophetic Biography and Personalities | The student compares situations involving the Prophet ﷺ, the Companions, and influential Muslim figures and derives leadership and moral qualities.</t>
  </si>
  <si>
    <t>السيرة والشخصيات | يُقيّم الطالب قرارًا أو موقفًا تاريخيًا في ضوء القيم والمبادئ الإسلامية. / Prophetic Biography and Personalities | The student evaluates a historical decision or situation in light of Islamic values and principles.</t>
  </si>
  <si>
    <t>السيرة والشخصيات | يستنتج الطالب الدروس القيادية والأخلاقية من السيرة، ويُبرّرها بالشواهد. / Prophetic Biography and Personalities | The student derives leadership and ethical lessons from the Seerah and justifies them with evidence.</t>
  </si>
  <si>
    <t>السيرة والشخصيات | يُوظّف الطالب درسًا مستفادًا من السيرة أو الشخصيات الإسلامية في موقف من حياته اليومية. / Prophetic Biography and Personalities | The student applies a lesson from the Seerah or Islamic personalities to a situation in daily life.</t>
  </si>
  <si>
    <t>الهوية والقضايا المعاصرة | يُحلّل الطالب عناصر الهوية الإسلامية والوطنية، ويبيّن أثرها في السلوك والانتماء. / Identity and Contemporary Issues | The student analyzes elements of Islamic and national identity and explains their impact on behavior and belonging.</t>
  </si>
  <si>
    <t>الهوية والقضايا المعاصرة | يُقيّم الطالب مواقف تعكس الولاء والانتماء لدولة الإمارات وقيادتها، ويُبرّر حكمه. / Identity and Contemporary Issues | The student evaluates situations that reflect loyalty and belonging to the UAE and its leadership and justifies the judgment.</t>
  </si>
  <si>
    <t>الهوية والقضايا المعاصرة | يُقارن الطالب بين استجابات مختلفة لقضية معاصرة في ضوء الوسطية والاعتدال والتسامح والتعايش. / Identity and Contemporary Issues | The student compares different responses to a contemporary issue in light of moderation, tolerance, and coexistence.</t>
  </si>
  <si>
    <t>الهوية والقضايا المعاصرة | يُحلّل الطالب قضية اجتماعية أو رقمية أو بيئية، ويقترح تعاملًا واعيًا ومسؤولًا معها. / Identity and Contemporary Issues | The student analyzes a social, digital, or environmental issue and proposes a conscious and responsible response.</t>
  </si>
  <si>
    <t>الهوية والقضايا المعاصرة | ينقد الطالب مظاهر التطرف والكراهية والتمييز، ويُبرّر رفضها في ضوء القيم الإسلامية. / Identity and Contemporary Issues | The student critiques manifestations of extremism, hatred, and discrimination and justifies rejecting them in light of Islamic values.</t>
  </si>
  <si>
    <t>قسم التربية الإسلامية | إعداد الخطة الأسبوعية
Islamic Education Department | Weekly Lesson Plan</t>
  </si>
  <si>
    <t>المعلم
Teacher</t>
  </si>
  <si>
    <t>المرحلة
Phase</t>
  </si>
  <si>
    <t>الصف
Grade</t>
  </si>
  <si>
    <t>الشعبة
Section</t>
  </si>
  <si>
    <t>عدد الطلاب الفعلي
Actual No. of Students</t>
  </si>
  <si>
    <t>اليوم
Day</t>
  </si>
  <si>
    <t>التاريخ
Date</t>
  </si>
  <si>
    <t>المادة
Subject</t>
  </si>
  <si>
    <t>المحور
Domain</t>
  </si>
  <si>
    <t>الأسبوع
Week</t>
  </si>
  <si>
    <t>WEEK 1 / الأسبوع 1</t>
  </si>
  <si>
    <t>معيار النجاح
Success Criterion</t>
  </si>
  <si>
    <t>نواتج التعلّم
Learning Outcomes</t>
  </si>
  <si>
    <t>الوحدة
Unit</t>
  </si>
  <si>
    <t>عنوان الدرس
Lesson Title</t>
  </si>
  <si>
    <t>الارتباط بثقافة دولة الإمارات
Links to UAE Culture</t>
  </si>
  <si>
    <t>الروابط بين المواد / الحياة الواقعية
Cross-Curricular / Real-Life Connections</t>
  </si>
  <si>
    <t>P21 – مهارات القرن الحادي والعشرين (اختر للأسبوع)
P21 – 21st Century Skills (select for the week)</t>
  </si>
  <si>
    <t>المفردات الرئيسة
Key Vocabulary</t>
  </si>
  <si>
    <t>المصادر / المنصات الرقمية (Schoology، SAVVAS، IXL…)
Resources / Digital Platforms (Schoology, SAVVAS, IXL…)</t>
  </si>
  <si>
    <t>مجموعات الطلاب للتعلّم المتمايز
Student Groupings for Differentiation</t>
  </si>
  <si>
    <t>أصحاب الهمم (SoD)
Students of Determination (SoD)</t>
  </si>
  <si>
    <t>متعلمو الإنجليزية كلغة إضافية (EAL)
English as an Additional Language (EAL)</t>
  </si>
  <si>
    <t>الموهوبون والمتفوقون (G&amp;T)
Gifted &amp; Talented (G&amp;T)</t>
  </si>
  <si>
    <t>الطلبة الإماراتيون
Emirati Students</t>
  </si>
  <si>
    <t>اكتب أسماء الطلاب في كل فئة، ثم حدّد التسهيلات أو التعديلات الخاصة بدروس هذا الأسبوع.
List the students in each category, then the accommodations or modifications specific to this week’s lessons.</t>
  </si>
  <si>
    <t>مراحل التعلّم
Process of Learning</t>
  </si>
  <si>
    <t>الحصة الأولى
First Period</t>
  </si>
  <si>
    <t>الحصة الثانية
Second Period</t>
  </si>
  <si>
    <t>ابدأ الآن — تفاعل (المهمة 1)
Do Now — Engage (Task 1)
⏱ 5 دقائق / 5 min
يبدأ الطالب بالكتابة فور الدخول؛ ولكل طالب استجابة مكتوبة.
Pen to paper on entry; every student has a written response.</t>
  </si>
  <si>
    <t>هدف التعلّم ومعايير النجاح
Learning Objective &amp; Success Criteria
⏱ دقيقتان / 2 min
بصياغة واضحة للطلاب؛ ومتوافقة مع المعيار.
Student-facing language; aligned to the standard.</t>
  </si>
  <si>
    <t>أنا أشرح (I Do) — شرح
I Do — Explain
⏱ 5 دقائق / 5 min
تعليم مباشر؛ مثال نموذجي؛ ومنظّم تمهيدي ظاهر.
Direct instruction; modelled example; advance organizer visible.</t>
  </si>
  <si>
    <t>نعمل معًا (We Do) — شرح بالأمثلة (المهمة 2)
We Do — Explain with Examples (Task 2)
⏱ 5 دقائق / 5 min
تدريب موجّه؛ أسئلة باختيار عشوائي؛ والتحقق من المفاهيم الخاطئة.
Guided practice; cold-call questioning; misconception check.</t>
  </si>
  <si>
    <t>تقييم منتصف الدرس — التحقق من الفهم
Mid Assessment — Check for Understanding
⏱ 5 دقائق / 5 min
تحقق على مستوى الصف؛ وتصحيح الإجابات في الدفاتر.
Whole-class check; answers corrected in notebooks.</t>
  </si>
  <si>
    <t>تعمل باستقلالية (You Do) — عبّر وتوسّع (المهمة 3)
You Do — Express &amp; Extend (Task 3)
⏱ 20 دقيقة / 20 min
المهمة 1 (برتقالي – قيد التطوير) · المهمة 2 (أصفر – ترسيخ) · المهمة 3 (أخضر – إتقان) · المهمة 4 (أزرق – إثراء)
Task 1 (Orange – Developing) · Task 2 (Yellow – Securing) · Task 3 (Green – Mastering) · Task 4 (Blue – Extension)</t>
  </si>
  <si>
    <t>بطاقة الخروج وSIR — تقويم
Exit Ticket &amp; SIR — Evaluate
⏱ 5 دقائق / 5 min
تحقق كتابي وفق معايير النجاح.
Written check vs success criteria.
SIR: ذاتي / Self □  الأقران / Peer □  المعلم / Teacher □  تأمل / Reflection □</t>
  </si>
  <si>
    <t>الطريقة:
Method:</t>
  </si>
  <si>
    <t>الواجب المنزلي / المتابعة
Homework / Follow-Up</t>
  </si>
  <si>
    <t>تأمل المعلم (نهاية الأسبوع)
Teacher Reflection (end of week)</t>
  </si>
  <si>
    <t>الرسالة: تتمثل رسالتنا في معرفة احتياجات كل طالب، والعمل بصورة تعاونية لبناء بيئة تعلّم مستدامة ومتمحورة حول الطالب في القرن الحادي والعشرين، تعزّز القيادة والتماسك الاجتماعي والإبداع والمسؤولية والطموح، وتتيح للقدرات ذات القيمة المستدامة أن تنمو وتبرز.
Mission: Our mission is to know the needs of every student, collaboratively creating a student-centered, sustainable 21st century learning environment that fosters leadership, social cohesion, creativity, responsibility and ambition providing a catalyst for abilities of lasting relevance to emerge.</t>
  </si>
  <si>
    <t>الرؤية: رؤيتنا أن يدرك جميع الشباب أن للتعلّم قيمة مستدامة تمتد إلى ما بعد حياتهم المدرسية.
Vision: Our vision is for all young people to experience that learning has lasting value beyond their life at school.</t>
  </si>
  <si>
    <t>WEEK 2 / الأسبوع 2</t>
  </si>
  <si>
    <t>WEEK 3 / الأسبوع 3</t>
  </si>
  <si>
    <t>WEEK 4 / الأسبوع 4</t>
  </si>
  <si>
    <t>WEEK 5 / الأسبوع 5</t>
  </si>
  <si>
    <t>WEEK 6 / الأسبوع 6</t>
  </si>
  <si>
    <t>WEEK 7 / الأسبوع 7</t>
  </si>
  <si>
    <t>WEEK 8 / الأسبوع 8</t>
  </si>
  <si>
    <t>WEEK 9 / الأسبوع 9</t>
  </si>
  <si>
    <t>WEEK 10 / الأسبوع 10</t>
  </si>
  <si>
    <t>WEEK 11 / الأسبوع 11</t>
  </si>
  <si>
    <t>WEEK 12 / الأسبوع 12</t>
  </si>
  <si>
    <t>WEEK 13 / الأسبوع 13</t>
  </si>
  <si>
    <t>WEEK 14 / الأسبوع 14</t>
  </si>
  <si>
    <t>WEEK 15 / الأسبوع 15</t>
  </si>
  <si>
    <t>WEEK 16 / الأسبوع 16</t>
  </si>
  <si>
    <t>WEEK 17 / الأسبوع 17</t>
  </si>
  <si>
    <t>WEEK 18 / الأسبوع 18</t>
  </si>
  <si>
    <t>WEEK 19 / الأسبوع 19</t>
  </si>
  <si>
    <t>WEEK 20 / الأسبوع 20</t>
  </si>
  <si>
    <t>WEEK 21 / الأسبوع 21</t>
  </si>
  <si>
    <t>WEEK 22 / الأسبوع 22</t>
  </si>
  <si>
    <t>WEEK 23 / الأسبوع 23</t>
  </si>
  <si>
    <t>WEEK 24 / الأسبوع 24</t>
  </si>
  <si>
    <t>WEEK 25 / الأسبوع 25</t>
  </si>
  <si>
    <t>WEEK 26 / الأسبوع 26</t>
  </si>
  <si>
    <t>WEEK 27 / الأسبوع 27</t>
  </si>
  <si>
    <t>WEEK 28 / الأسبوع 28</t>
  </si>
  <si>
    <t>WEEK 29 / الأسبوع 29</t>
  </si>
  <si>
    <t>WEEK 30 / الأسبوع 30</t>
  </si>
  <si>
    <t>البيانات الأساسية
Core Planning (17)</t>
  </si>
  <si>
    <t>التمايز
Differentiation (4)</t>
  </si>
  <si>
    <t>الحصة الأولى
First Period (9)</t>
  </si>
  <si>
    <t>الحصة الثانية
Second Period (9)</t>
  </si>
  <si>
    <t>التأمل
Reflection (1)</t>
  </si>
  <si>
    <t>المنجز
Completed</t>
  </si>
  <si>
    <t>نسبة الإنجاز
Completion %</t>
  </si>
  <si>
    <t>الحالة
Status</t>
  </si>
  <si>
    <t>المتابعة التالية
Next Action</t>
  </si>
  <si>
    <t>لوحة متابعة التقدم في التخطيط الأسبوعي – قسم التربية الإسلامية
Islamic Education Weekly Planning Progress Dashboard</t>
  </si>
  <si>
    <t>Week</t>
  </si>
  <si>
    <t>Completion</t>
  </si>
  <si>
    <t>اسم المعلم / Teacher Name</t>
  </si>
  <si>
    <t>الأسبوع المحدد / Selected Week</t>
  </si>
  <si>
    <t>العام الأكاديمي / Academic Year</t>
  </si>
  <si>
    <t>نظام المتابعة / Tracking</t>
  </si>
  <si>
    <t>2026–2027</t>
  </si>
  <si>
    <t>مرتبط تلقائيًا بـ 30 أسبوعًا
Automatically linked to 30 weeks</t>
  </si>
  <si>
    <t>الأسابيع المكتملة / Completed Weeks</t>
  </si>
  <si>
    <t>قيد التنفيذ / In Progress</t>
  </si>
  <si>
    <t>لم تبدأ / Not Started</t>
  </si>
  <si>
    <t>نسبة الإنجاز الكلية / Overall Completion</t>
  </si>
  <si>
    <t>البيانات الأساسية
Core Planning</t>
  </si>
  <si>
    <t>التمايز
Differentiation</t>
  </si>
  <si>
    <t>التأمل
Reflection</t>
  </si>
  <si>
    <t>ملخص الأسبوع المحدد / Selected Week Snapshot</t>
  </si>
  <si>
    <t>نسبة الإنجاز / Completion</t>
  </si>
  <si>
    <t>الحالة / Status</t>
  </si>
  <si>
    <t>المتابعة التالية / Next Action</t>
  </si>
  <si>
    <t>عنوان الدرس / Lesson Title</t>
  </si>
  <si>
    <t>الإنجاز
Completion</t>
  </si>
  <si>
    <t>المتابعة
Next Action</t>
  </si>
  <si>
    <t>Category</t>
  </si>
  <si>
    <t>Core Planning</t>
  </si>
  <si>
    <t>Differentiation</t>
  </si>
  <si>
    <t>First Period</t>
  </si>
  <si>
    <t>Second Period</t>
  </si>
  <si>
    <t>Reflection</t>
  </si>
  <si>
    <t>طريقة الحساب / How progress is calculated: يتم قياس إنجاز كل أسبوع عبر 40 متطلبًا موزعة على البيانات الأساسية (17)، التمايز (4)، الحصة الأولى (9)، الحصة الثانية (9)، وتأمل المعلم (1). The dashboard automatically measures 40 weekly planning requirements: Core Planning (17), Differentiation (4), First Period (9), Second Period (9), and Reflection (1).</t>
  </si>
  <si>
    <r>
      <rPr>
        <b/>
        <sz val="7"/>
        <color rgb="FFC00000"/>
        <rFont val="Arial"/>
        <family val="2"/>
      </rPr>
      <t xml:space="preserve">ابدأ الآن — تفاعل (المهمة 1)
Do Now — Engage (Task 1)
</t>
    </r>
    <r>
      <rPr>
        <b/>
        <sz val="7"/>
        <color rgb="FF222222"/>
        <rFont val="Arial"/>
        <family val="2"/>
      </rPr>
      <t>⏱ 5 دقائق / 5 min
يبدأ الطالب بالكتابة فور الدخول؛ ولكل طالب استجابة مكتوبة.
Pen to paper on entry; every student has a written response.</t>
    </r>
  </si>
  <si>
    <r>
      <rPr>
        <b/>
        <sz val="7"/>
        <color rgb="FFC00000"/>
        <rFont val="Arial"/>
        <family val="2"/>
      </rPr>
      <t xml:space="preserve">هدف التعلّم ومعايير النجاح
Learning Objective &amp; Success Criteria
</t>
    </r>
    <r>
      <rPr>
        <b/>
        <sz val="7"/>
        <color rgb="FF222222"/>
        <rFont val="Arial"/>
        <family val="2"/>
      </rPr>
      <t>⏱ دقيقتان / 2 min
بصياغة واضحة للطلاب؛ ومتوافقة مع المعيار.
Student-facing language; aligned to the standard.</t>
    </r>
  </si>
  <si>
    <r>
      <rPr>
        <b/>
        <sz val="7"/>
        <color rgb="FF0070C0"/>
        <rFont val="Arial"/>
        <family val="2"/>
      </rPr>
      <t xml:space="preserve">أنا أشرح (I Do) — شرح
I Do — Explain
</t>
    </r>
    <r>
      <rPr>
        <b/>
        <sz val="7"/>
        <color rgb="FF222222"/>
        <rFont val="Arial"/>
        <family val="2"/>
      </rPr>
      <t>⏱ 5 دقائق / 5 min
تعليم مباشر؛ مثال نموذجي؛ ومنظّم تمهيدي ظاهر.
Direct instruction; modelled example; advance organizer visible.</t>
    </r>
  </si>
  <si>
    <r>
      <rPr>
        <b/>
        <sz val="7"/>
        <color rgb="FF0070C0"/>
        <rFont val="Arial"/>
        <family val="2"/>
      </rPr>
      <t xml:space="preserve">نعمل معًا (We Do) — شرح بالأمثلة (المهمة 2)
We Do — Explain with Examples (Task 2)
</t>
    </r>
    <r>
      <rPr>
        <b/>
        <sz val="7"/>
        <color rgb="FF222222"/>
        <rFont val="Arial"/>
        <family val="2"/>
      </rPr>
      <t>⏱ 5 دقائق / 5 min
تدريب موجّه؛ أسئلة باختيار عشوائي؛ والتحقق من المفاهيم الخاطئة.
Guided practice; cold-call questioning; misconception check.</t>
    </r>
  </si>
  <si>
    <r>
      <rPr>
        <b/>
        <sz val="7"/>
        <color rgb="FF0070C0"/>
        <rFont val="Arial"/>
        <family val="2"/>
      </rPr>
      <t xml:space="preserve">تقييم منتصف الدرس — التحقق من الفهم
Mid Assessment — Check for Understanding
</t>
    </r>
    <r>
      <rPr>
        <b/>
        <sz val="7"/>
        <color rgb="FF222222"/>
        <rFont val="Arial"/>
        <family val="2"/>
      </rPr>
      <t>⏱ 5 دقائق / 5 min
تحقق على مستوى الصف؛ وتصحيح الإجابات في الدفاتر.
Whole-class check; answers corrected in notebooks.</t>
    </r>
  </si>
  <si>
    <r>
      <rPr>
        <b/>
        <sz val="7"/>
        <color rgb="FF00B050"/>
        <rFont val="Arial"/>
        <family val="2"/>
      </rPr>
      <t xml:space="preserve">تعمل باستقلالية (You Do) — عبّر وتوسّع (المهمة 3)
You Do — Express &amp; Extend (Task 3)
</t>
    </r>
    <r>
      <rPr>
        <b/>
        <sz val="7"/>
        <color rgb="FF222222"/>
        <rFont val="Arial"/>
        <family val="2"/>
      </rPr>
      <t>⏱ 20 دقيقة / 20 min
المهمة 1 (برتقالي – قيد التطوير) · المهمة 2 (أصفر – ترسيخ) · المهمة 3 (أخضر – إتقان) · المهمة 4 (أزرق – إثراء)
Task 1 (Orange – Developing) · Task 2 (Yellow – Securing) · Task 3 (Green – Mastering) · Task 4 (Blue – Extension)</t>
    </r>
  </si>
  <si>
    <r>
      <rPr>
        <b/>
        <sz val="7"/>
        <color rgb="FF00B050"/>
        <rFont val="Arial"/>
        <family val="2"/>
      </rPr>
      <t xml:space="preserve">بطاقة الخروج وSIR — تقويم
Exit Ticket &amp; SIR — Evaluate
</t>
    </r>
    <r>
      <rPr>
        <b/>
        <sz val="7"/>
        <color rgb="FF222222"/>
        <rFont val="Arial"/>
        <family val="2"/>
      </rPr>
      <t>⏱ 5 دقائق / 5 min
تحقق كتابي وفق معايير النجاح.
Written check vs success criteria.
SIR: ذاتي / Self □  الأقران / Peer □  المعلم / Teacher □  تأمل / Reflection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</si>
</sst>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1">
    <font>
      <sz val="11"/>
      <name val="Carlito"/>
    </font>
    <font>
      <b/>
      <sz val="10"/>
      <color rgb="FFFFFFFF"/>
      <name val="Arial"/>
      <family val="2"/>
    </font>
    <font>
      <b/>
      <sz val="16"/>
      <color rgb="FFFFD54F"/>
      <name val="Arial"/>
      <family val="2"/>
    </font>
    <font>
      <b/>
      <sz val="9"/>
      <color rgb="FF222222"/>
      <name val="Arial"/>
      <family val="2"/>
    </font>
    <font>
      <sz val="9"/>
      <color rgb="FF222222"/>
      <name val="Arial"/>
      <family val="2"/>
    </font>
    <font>
      <b/>
      <sz val="9"/>
      <color rgb="FFFFFFFF"/>
      <name val="Arial"/>
      <family val="2"/>
    </font>
    <font>
      <b/>
      <sz val="8"/>
      <color rgb="FFFFFFFF"/>
      <name val="Arial"/>
      <family val="2"/>
    </font>
    <font>
      <sz val="8"/>
      <color rgb="FF222222"/>
      <name val="Arial"/>
      <family val="2"/>
    </font>
    <font>
      <b/>
      <sz val="8"/>
      <color rgb="FF222222"/>
      <name val="Arial"/>
      <family val="2"/>
    </font>
    <font>
      <b/>
      <sz val="9"/>
      <color rgb="FF000000"/>
      <name val="Arial"/>
      <family val="2"/>
    </font>
    <font>
      <sz val="8"/>
      <color rgb="FF555555"/>
      <name val="Arial"/>
      <family val="2"/>
    </font>
    <font>
      <b/>
      <sz val="13"/>
      <color rgb="FFFFD54F"/>
      <name val="Arial"/>
      <family val="2"/>
    </font>
    <font>
      <b/>
      <sz val="8"/>
      <color rgb="FF000000"/>
      <name val="Arial"/>
      <family val="2"/>
    </font>
    <font>
      <b/>
      <sz val="7"/>
      <color rgb="FFFFFFFF"/>
      <name val="Arial"/>
      <family val="2"/>
    </font>
    <font>
      <sz val="7"/>
      <color rgb="FF222222"/>
      <name val="Arial"/>
      <family val="2"/>
    </font>
    <font>
      <b/>
      <sz val="7"/>
      <color rgb="FF222222"/>
      <name val="Arial"/>
      <family val="2"/>
    </font>
    <font>
      <sz val="6"/>
      <color rgb="FF555555"/>
      <name val="Arial"/>
      <family val="2"/>
    </font>
    <font>
      <sz val="8"/>
      <color rgb="FF0070C0"/>
      <name val="Arial"/>
      <family val="2"/>
    </font>
    <font>
      <sz val="10"/>
      <color rgb="FF0070C0"/>
      <name val="Arial"/>
      <family val="2"/>
    </font>
    <font>
      <b/>
      <sz val="22"/>
      <color rgb="FF1F4E78"/>
      <name val="Arial"/>
      <family val="2"/>
    </font>
    <font>
      <b/>
      <sz val="16"/>
      <color rgb="FF0070C0"/>
      <name val="Arial"/>
      <family val="2"/>
    </font>
    <font>
      <b/>
      <sz val="10"/>
      <color rgb="FF0070C0"/>
      <name val="Arial"/>
      <family val="2"/>
    </font>
    <font>
      <sz val="7"/>
      <color rgb="FFFFFFFF"/>
      <name val="Arial"/>
      <family val="2"/>
    </font>
    <font>
      <b/>
      <sz val="11"/>
      <name val="Carlito"/>
    </font>
    <font>
      <b/>
      <sz val="8"/>
      <color rgb="FF0070C0"/>
      <name val="Arial"/>
      <family val="2"/>
    </font>
    <font>
      <b/>
      <sz val="6"/>
      <color rgb="FF555555"/>
      <name val="Arial"/>
      <family val="2"/>
    </font>
    <font>
      <b/>
      <sz val="6"/>
      <color rgb="FF0070C0"/>
      <name val="Arial"/>
      <family val="2"/>
    </font>
    <font>
      <b/>
      <sz val="6"/>
      <color rgb="FF00B050"/>
      <name val="Arial"/>
      <family val="2"/>
    </font>
    <font>
      <b/>
      <sz val="7"/>
      <color rgb="FFC00000"/>
      <name val="Arial"/>
      <family val="2"/>
    </font>
    <font>
      <b/>
      <sz val="7"/>
      <color rgb="FF0070C0"/>
      <name val="Arial"/>
      <family val="2"/>
    </font>
    <font>
      <b/>
      <sz val="7"/>
      <color rgb="FF00B050"/>
      <name val="Arial"/>
      <family val="2"/>
    </font>
  </fonts>
  <fills count="15">
    <fill>
      <patternFill patternType="none"/>
    </fill>
    <fill>
      <patternFill patternType="gray125"/>
    </fill>
    <fill>
      <patternFill patternType="solid">
        <fgColor rgb="FF595959"/>
      </patternFill>
    </fill>
    <fill>
      <patternFill patternType="solid">
        <fgColor rgb="FFFFF8D9"/>
      </patternFill>
    </fill>
    <fill>
      <patternFill patternType="solid">
        <fgColor rgb="FFFFFDF2"/>
      </patternFill>
    </fill>
    <fill>
      <patternFill patternType="solid">
        <fgColor rgb="FFFFFFFF"/>
      </patternFill>
    </fill>
    <fill>
      <patternFill patternType="solid">
        <fgColor rgb="FFF7F7F7"/>
      </patternFill>
    </fill>
    <fill>
      <patternFill patternType="solid">
        <fgColor rgb="FF595959"/>
      </patternFill>
    </fill>
    <fill>
      <patternFill patternType="solid">
        <fgColor rgb="FF4F4F4F"/>
      </patternFill>
    </fill>
    <fill>
      <patternFill patternType="solid">
        <fgColor rgb="FFFFF8D9"/>
      </patternFill>
    </fill>
    <fill>
      <patternFill patternType="solid">
        <fgColor rgb="FFFFD54F"/>
      </patternFill>
    </fill>
    <fill>
      <patternFill patternType="solid">
        <fgColor rgb="FF595959"/>
      </patternFill>
    </fill>
    <fill>
      <patternFill patternType="solid">
        <fgColor rgb="FFFFFDF2"/>
      </patternFill>
    </fill>
    <fill>
      <patternFill patternType="solid">
        <fgColor rgb="FFFFFFFF"/>
      </patternFill>
    </fill>
    <fill>
      <patternFill patternType="solid">
        <fgColor rgb="FFF7F7F7"/>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thin">
        <color rgb="FFD4D4D4"/>
      </left>
      <right style="thin">
        <color rgb="FFD4D4D4"/>
      </right>
      <top style="thin">
        <color rgb="FFD4D4D4"/>
      </top>
      <bottom style="thin">
        <color rgb="FFD4D4D4"/>
      </bottom>
      <diagonal/>
    </border>
    <border>
      <left style="thin">
        <color rgb="FFE1E1E1"/>
      </left>
      <right style="thin">
        <color rgb="FFE1E1E1"/>
      </right>
      <top style="thin">
        <color rgb="FFE1E1E1"/>
      </top>
      <bottom style="thin">
        <color rgb="FFE1E1E1"/>
      </bottom>
      <diagonal/>
    </border>
    <border>
      <left style="thin">
        <color rgb="FF4F4F4F"/>
      </left>
      <right/>
      <top style="thin">
        <color rgb="FF4F4F4F"/>
      </top>
      <bottom/>
      <diagonal/>
    </border>
    <border>
      <left/>
      <right/>
      <top style="thin">
        <color rgb="FF4F4F4F"/>
      </top>
      <bottom/>
      <diagonal/>
    </border>
    <border>
      <left/>
      <right style="thin">
        <color rgb="FF4F4F4F"/>
      </right>
      <top style="thin">
        <color rgb="FF4F4F4F"/>
      </top>
      <bottom/>
      <diagonal/>
    </border>
    <border>
      <left style="thin">
        <color rgb="FF4F4F4F"/>
      </left>
      <right/>
      <top/>
      <bottom style="thin">
        <color rgb="FF4F4F4F"/>
      </bottom>
      <diagonal/>
    </border>
    <border>
      <left/>
      <right/>
      <top/>
      <bottom style="thin">
        <color rgb="FF4F4F4F"/>
      </bottom>
      <diagonal/>
    </border>
    <border>
      <left/>
      <right style="thin">
        <color rgb="FF4F4F4F"/>
      </right>
      <top/>
      <bottom style="thin">
        <color rgb="FF4F4F4F"/>
      </bottom>
      <diagonal/>
    </border>
    <border>
      <left style="thin">
        <color rgb="FFE2E2E2"/>
      </left>
      <right style="thin">
        <color rgb="FFE2E2E2"/>
      </right>
      <top style="thin">
        <color rgb="FFE2E2E2"/>
      </top>
      <bottom style="thin">
        <color rgb="FFE2E2E2"/>
      </bottom>
      <diagonal/>
    </border>
    <border>
      <left style="thin">
        <color rgb="FFD4D4D4"/>
      </left>
      <right/>
      <top style="thin">
        <color rgb="FFD4D4D4"/>
      </top>
      <bottom/>
      <diagonal/>
    </border>
    <border>
      <left/>
      <right/>
      <top style="thin">
        <color rgb="FFD4D4D4"/>
      </top>
      <bottom/>
      <diagonal/>
    </border>
    <border>
      <left/>
      <right style="thin">
        <color rgb="FFD4D4D4"/>
      </right>
      <top style="thin">
        <color rgb="FFD4D4D4"/>
      </top>
      <bottom/>
      <diagonal/>
    </border>
    <border>
      <left style="thin">
        <color rgb="FFD4D4D4"/>
      </left>
      <right/>
      <top/>
      <bottom/>
      <diagonal/>
    </border>
    <border>
      <left/>
      <right style="thin">
        <color rgb="FFD4D4D4"/>
      </right>
      <top/>
      <bottom/>
      <diagonal/>
    </border>
    <border>
      <left style="thin">
        <color rgb="FFD4D4D4"/>
      </left>
      <right/>
      <top/>
      <bottom style="thin">
        <color rgb="FFD4D4D4"/>
      </bottom>
      <diagonal/>
    </border>
    <border>
      <left/>
      <right/>
      <top/>
      <bottom style="thin">
        <color rgb="FFD4D4D4"/>
      </bottom>
      <diagonal/>
    </border>
    <border>
      <left/>
      <right style="thin">
        <color rgb="FFD4D4D4"/>
      </right>
      <top/>
      <bottom style="thin">
        <color rgb="FFD4D4D4"/>
      </bottom>
      <diagonal/>
    </border>
  </borders>
  <cellStyleXfs count="1">
    <xf numFmtId="0" fontId="0" fillId="0" borderId="0"/>
  </cellStyleXfs>
  <cellXfs count="78">
    <xf numFmtId="0" fontId="0" fillId="0" borderId="0" xfId="0"/>
    <xf numFmtId="164" fontId="0" fillId="0" borderId="0" xfId="0" applyNumberFormat="1"/>
    <xf numFmtId="0" fontId="0" fillId="0" borderId="0" xfId="0" applyAlignment="1">
      <alignment wrapText="1"/>
    </xf>
    <xf numFmtId="164" fontId="0" fillId="0" borderId="0" xfId="0" applyNumberFormat="1" applyAlignment="1">
      <alignment wrapText="1"/>
    </xf>
    <xf numFmtId="0" fontId="5" fillId="2" borderId="1" xfId="0" applyFont="1" applyFill="1" applyBorder="1" applyAlignment="1">
      <alignment horizontal="center" vertical="center" wrapText="1"/>
    </xf>
    <xf numFmtId="0" fontId="5" fillId="0" borderId="1" xfId="0" applyFont="1" applyBorder="1" applyAlignment="1">
      <alignment wrapText="1"/>
    </xf>
    <xf numFmtId="0" fontId="12" fillId="3" borderId="2" xfId="0" applyFont="1" applyFill="1" applyBorder="1" applyAlignment="1">
      <alignment horizontal="right" vertical="center" wrapText="1"/>
    </xf>
    <xf numFmtId="0" fontId="5" fillId="7" borderId="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15" fillId="9" borderId="2" xfId="0" applyFont="1" applyFill="1" applyBorder="1" applyAlignment="1">
      <alignment horizontal="right" vertical="center" wrapText="1"/>
    </xf>
    <xf numFmtId="0" fontId="5" fillId="8" borderId="1" xfId="0" applyFont="1" applyFill="1" applyBorder="1" applyAlignment="1">
      <alignment horizontal="center" vertical="center" wrapText="1"/>
    </xf>
    <xf numFmtId="0" fontId="7" fillId="0" borderId="3" xfId="0" applyFont="1" applyBorder="1" applyAlignment="1">
      <alignment vertical="center" wrapText="1"/>
    </xf>
    <xf numFmtId="164" fontId="7" fillId="0" borderId="3" xfId="0" applyNumberFormat="1" applyFont="1" applyBorder="1" applyAlignment="1">
      <alignment vertical="center" wrapText="1"/>
    </xf>
    <xf numFmtId="9" fontId="7" fillId="0" borderId="3" xfId="0" applyNumberFormat="1" applyFont="1" applyBorder="1" applyAlignment="1">
      <alignment vertical="center" wrapText="1"/>
    </xf>
    <xf numFmtId="0" fontId="6" fillId="8" borderId="2" xfId="0" applyFont="1" applyFill="1" applyBorder="1" applyAlignment="1">
      <alignment horizontal="center" vertical="center" wrapText="1"/>
    </xf>
    <xf numFmtId="0" fontId="7" fillId="0" borderId="10" xfId="0" applyFont="1" applyBorder="1" applyAlignment="1">
      <alignment vertical="center" wrapText="1"/>
    </xf>
    <xf numFmtId="0" fontId="7" fillId="0" borderId="10" xfId="0" applyFont="1" applyBorder="1" applyAlignment="1">
      <alignment horizontal="center" vertical="center" wrapText="1"/>
    </xf>
    <xf numFmtId="164" fontId="7" fillId="0" borderId="10" xfId="0" applyNumberFormat="1" applyFont="1" applyBorder="1" applyAlignment="1">
      <alignment vertical="center" wrapText="1"/>
    </xf>
    <xf numFmtId="9" fontId="7" fillId="0" borderId="10" xfId="0" applyNumberFormat="1" applyFont="1" applyBorder="1" applyAlignment="1">
      <alignment vertical="center" wrapText="1"/>
    </xf>
    <xf numFmtId="0" fontId="22" fillId="0" borderId="0" xfId="0" applyFont="1"/>
    <xf numFmtId="9" fontId="22" fillId="0" borderId="0" xfId="0" applyNumberFormat="1" applyFont="1"/>
    <xf numFmtId="0" fontId="11" fillId="8" borderId="2" xfId="0" applyFont="1" applyFill="1" applyBorder="1" applyAlignment="1">
      <alignment horizontal="center" vertical="center" wrapText="1"/>
    </xf>
    <xf numFmtId="0" fontId="12" fillId="9" borderId="2" xfId="0" applyFont="1" applyFill="1" applyBorder="1" applyAlignment="1">
      <alignment horizontal="right" vertical="center" wrapText="1"/>
    </xf>
    <xf numFmtId="0" fontId="17" fillId="4" borderId="2" xfId="0" applyFont="1" applyFill="1" applyBorder="1" applyAlignment="1">
      <alignment horizontal="right" vertical="center" wrapText="1"/>
    </xf>
    <xf numFmtId="164" fontId="17" fillId="4" borderId="2" xfId="0" applyNumberFormat="1" applyFont="1" applyFill="1" applyBorder="1" applyAlignment="1">
      <alignment horizontal="right" vertical="center" wrapText="1"/>
    </xf>
    <xf numFmtId="0" fontId="7" fillId="4" borderId="2" xfId="0" applyFont="1" applyFill="1" applyBorder="1" applyAlignment="1">
      <alignment horizontal="right" vertical="center" wrapText="1"/>
    </xf>
    <xf numFmtId="0" fontId="12" fillId="10" borderId="2" xfId="0" applyFont="1" applyFill="1" applyBorder="1" applyAlignment="1">
      <alignment horizontal="center" vertical="center" wrapText="1"/>
    </xf>
    <xf numFmtId="0" fontId="4" fillId="4" borderId="2" xfId="0" applyFont="1" applyFill="1" applyBorder="1" applyAlignment="1">
      <alignment horizontal="right" vertical="center" wrapText="1"/>
    </xf>
    <xf numFmtId="0" fontId="4" fillId="5" borderId="2" xfId="0" applyFont="1" applyFill="1" applyBorder="1" applyAlignment="1">
      <alignment horizontal="right" vertical="center" wrapText="1"/>
    </xf>
    <xf numFmtId="0" fontId="13" fillId="11" borderId="2" xfId="0" applyFont="1" applyFill="1" applyBorder="1" applyAlignment="1">
      <alignment horizontal="center" vertical="center" wrapText="1"/>
    </xf>
    <xf numFmtId="0" fontId="14" fillId="5" borderId="2" xfId="0" applyFont="1" applyFill="1" applyBorder="1" applyAlignment="1">
      <alignment horizontal="right" vertical="center" wrapText="1"/>
    </xf>
    <xf numFmtId="0" fontId="7" fillId="5" borderId="2" xfId="0" applyFont="1" applyFill="1" applyBorder="1" applyAlignment="1">
      <alignment horizontal="right" vertical="center" wrapText="1"/>
    </xf>
    <xf numFmtId="0" fontId="16" fillId="6" borderId="2" xfId="0" applyFont="1" applyFill="1" applyBorder="1" applyAlignment="1">
      <alignment horizontal="right" vertical="center" wrapText="1"/>
    </xf>
    <xf numFmtId="0" fontId="6" fillId="11"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18" fillId="12" borderId="2" xfId="0" applyFont="1" applyFill="1" applyBorder="1" applyAlignment="1">
      <alignment horizontal="center" vertical="center" wrapText="1"/>
    </xf>
    <xf numFmtId="0" fontId="5" fillId="11" borderId="0" xfId="0" applyFont="1" applyFill="1" applyAlignment="1">
      <alignment horizontal="center" vertical="center" wrapText="1"/>
    </xf>
    <xf numFmtId="0" fontId="19" fillId="13" borderId="2" xfId="0" applyFont="1" applyFill="1" applyBorder="1" applyAlignment="1">
      <alignment horizontal="center" vertical="center" wrapText="1"/>
    </xf>
    <xf numFmtId="9" fontId="19" fillId="13" borderId="2" xfId="0" applyNumberFormat="1" applyFont="1" applyFill="1" applyBorder="1" applyAlignment="1">
      <alignment horizontal="center" vertical="center" wrapText="1"/>
    </xf>
    <xf numFmtId="9" fontId="20" fillId="13" borderId="2" xfId="0" applyNumberFormat="1" applyFont="1" applyFill="1" applyBorder="1" applyAlignment="1">
      <alignment horizontal="center" vertical="center"/>
    </xf>
    <xf numFmtId="0" fontId="1" fillId="11" borderId="0" xfId="0" applyFont="1" applyFill="1" applyAlignment="1">
      <alignment horizontal="center" vertical="center"/>
    </xf>
    <xf numFmtId="0" fontId="12" fillId="9" borderId="2" xfId="0" applyFont="1" applyFill="1" applyBorder="1" applyAlignment="1">
      <alignment horizontal="center" vertical="center" wrapText="1"/>
    </xf>
    <xf numFmtId="9" fontId="21" fillId="13" borderId="2" xfId="0" applyNumberFormat="1" applyFont="1" applyFill="1" applyBorder="1" applyAlignment="1">
      <alignment horizontal="center" vertical="center" wrapText="1"/>
    </xf>
    <xf numFmtId="0" fontId="21" fillId="13" borderId="2"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10" fillId="14" borderId="12" xfId="0" applyFont="1" applyFill="1" applyBorder="1" applyAlignment="1">
      <alignment horizontal="center" vertical="center" wrapText="1"/>
    </xf>
    <xf numFmtId="0" fontId="10" fillId="14" borderId="13" xfId="0" applyFont="1" applyFill="1" applyBorder="1" applyAlignment="1">
      <alignment horizontal="center" vertical="center" wrapText="1"/>
    </xf>
    <xf numFmtId="0" fontId="10" fillId="14" borderId="14" xfId="0" applyFont="1" applyFill="1" applyBorder="1" applyAlignment="1">
      <alignment horizontal="center" vertical="center" wrapText="1"/>
    </xf>
    <xf numFmtId="0" fontId="10" fillId="14" borderId="0" xfId="0" applyFont="1" applyFill="1" applyAlignment="1">
      <alignment horizontal="center" vertical="center" wrapText="1"/>
    </xf>
    <xf numFmtId="0" fontId="10" fillId="14" borderId="15" xfId="0" applyFont="1" applyFill="1" applyBorder="1" applyAlignment="1">
      <alignment horizontal="center" vertical="center" wrapText="1"/>
    </xf>
    <xf numFmtId="0" fontId="10" fillId="14" borderId="16" xfId="0" applyFont="1" applyFill="1" applyBorder="1" applyAlignment="1">
      <alignment horizontal="center" vertical="center" wrapText="1"/>
    </xf>
    <xf numFmtId="0" fontId="10" fillId="14" borderId="17" xfId="0" applyFont="1" applyFill="1" applyBorder="1" applyAlignment="1">
      <alignment horizontal="center" vertical="center" wrapText="1"/>
    </xf>
    <xf numFmtId="0" fontId="10" fillId="14" borderId="18"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23" fillId="0" borderId="0" xfId="0" applyFont="1" applyAlignment="1">
      <alignment horizontal="center"/>
    </xf>
    <xf numFmtId="0" fontId="24" fillId="4" borderId="2" xfId="0" applyFont="1" applyFill="1" applyBorder="1" applyAlignment="1">
      <alignment horizontal="center" vertical="center" wrapText="1"/>
    </xf>
    <xf numFmtId="164" fontId="24" fillId="4" borderId="2" xfId="0" applyNumberFormat="1" applyFont="1" applyFill="1" applyBorder="1" applyAlignment="1">
      <alignment horizontal="center" vertical="center" wrapText="1"/>
    </xf>
    <xf numFmtId="0" fontId="8"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6" fillId="6" borderId="2" xfId="0" applyFont="1" applyFill="1" applyBorder="1" applyAlignment="1">
      <alignment horizontal="center" vertical="center" wrapText="1"/>
    </xf>
    <xf numFmtId="0" fontId="27" fillId="6" borderId="2" xfId="0" applyFont="1" applyFill="1" applyBorder="1" applyAlignment="1">
      <alignment horizontal="center" vertical="center" wrapText="1"/>
    </xf>
    <xf numFmtId="0" fontId="8" fillId="5" borderId="2" xfId="0" applyFont="1" applyFill="1" applyBorder="1" applyAlignment="1">
      <alignment horizontal="right" vertical="center" wrapText="1"/>
    </xf>
  </cellXfs>
  <cellStyles count="1">
    <cellStyle name="Normal" xfId="0" builtinId="0"/>
  </cellStyles>
  <dxfs count="6">
    <dxf>
      <font>
        <b/>
        <color rgb="FF9C0006"/>
      </font>
      <fill>
        <patternFill patternType="solid">
          <bgColor rgb="FFF4CCCC"/>
        </patternFill>
      </fill>
    </dxf>
    <dxf>
      <font>
        <b/>
        <color rgb="FF9C6500"/>
      </font>
      <fill>
        <patternFill patternType="solid">
          <bgColor rgb="FFFFF2CC"/>
        </patternFill>
      </fill>
    </dxf>
    <dxf>
      <font>
        <b/>
        <color rgb="FF006100"/>
      </font>
      <fill>
        <patternFill patternType="solid">
          <bgColor rgb="FFE2F0D9"/>
        </patternFill>
      </fill>
    </dxf>
    <dxf>
      <font>
        <b/>
        <color rgb="FF9C0006"/>
      </font>
      <fill>
        <patternFill patternType="solid">
          <bgColor rgb="FFF4CCCC"/>
        </patternFill>
      </fill>
    </dxf>
    <dxf>
      <font>
        <b/>
        <color rgb="FF9C6500"/>
      </font>
      <fill>
        <patternFill patternType="solid">
          <bgColor rgb="FFFFF2CC"/>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ar-SA"/>
              <a:t>التقدم الأسبوعي / </a:t>
            </a:r>
            <a:r>
              <a:rPr lang="en-US"/>
              <a:t>Weekly Completion Trend</a:t>
            </a:r>
          </a:p>
        </c:rich>
      </c:tx>
      <c:overlay val="1"/>
    </c:title>
    <c:autoTitleDeleted val="0"/>
    <c:plotArea>
      <c:layout/>
      <c:lineChart>
        <c:grouping val="standard"/>
        <c:varyColors val="1"/>
        <c:ser>
          <c:idx val="0"/>
          <c:order val="0"/>
          <c:tx>
            <c:v>Completion</c:v>
          </c:tx>
          <c:marker>
            <c:symbol val="none"/>
          </c:marker>
          <c:cat>
            <c:numRef>
              <c:f>DASHBOARD!$R$2:$R$31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DASHBOARD!$S$2:$S$31</c:f>
              <c:numCache>
                <c:formatCode>0%</c:formatCode>
                <c:ptCount val="30"/>
                <c:pt idx="0">
                  <c:v>2.5000000000000001E-2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0-9F90-42D6-9E01-337EF81EE9B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ar-SA"/>
              <a:t>التقدم حسب المتطلبات / </a:t>
            </a:r>
            <a:r>
              <a:rPr lang="en-US"/>
              <a:t>Progress by Requirement Area</a:t>
            </a:r>
          </a:p>
        </c:rich>
      </c:tx>
      <c:overlay val="1"/>
    </c:title>
    <c:autoTitleDeleted val="0"/>
    <c:plotArea>
      <c:layout/>
      <c:barChart>
        <c:barDir val="col"/>
        <c:grouping val="clustered"/>
        <c:varyColors val="0"/>
        <c:ser>
          <c:idx val="0"/>
          <c:order val="0"/>
          <c:tx>
            <c:v>Completion</c:v>
          </c:tx>
          <c:invertIfNegative val="1"/>
          <c:cat>
            <c:strRef>
              <c:f>DASHBOARD!$R$35:$R$39</c:f>
              <c:strCache>
                <c:ptCount val="5"/>
                <c:pt idx="0">
                  <c:v>Core Planning</c:v>
                </c:pt>
                <c:pt idx="1">
                  <c:v>Differentiation</c:v>
                </c:pt>
                <c:pt idx="2">
                  <c:v>First Period</c:v>
                </c:pt>
                <c:pt idx="3">
                  <c:v>Second Period</c:v>
                </c:pt>
                <c:pt idx="4">
                  <c:v>Reflection</c:v>
                </c:pt>
              </c:strCache>
            </c:strRef>
          </c:cat>
          <c:val>
            <c:numRef>
              <c:f>DASHBOARD!$S$35:$S$39</c:f>
              <c:numCache>
                <c:formatCode>0%</c:formatCode>
                <c:ptCount val="5"/>
                <c:pt idx="0">
                  <c:v>1.9607843137254902E-3</c:v>
                </c:pt>
                <c:pt idx="1">
                  <c:v>0</c:v>
                </c:pt>
                <c:pt idx="2">
                  <c:v>0</c:v>
                </c:pt>
                <c:pt idx="3">
                  <c:v>0</c:v>
                </c:pt>
                <c:pt idx="4">
                  <c:v>0</c:v>
                </c:pt>
              </c:numCache>
            </c:numRef>
          </c:val>
          <c:extLst>
            <c:ext xmlns:c16="http://schemas.microsoft.com/office/drawing/2014/chart" uri="{C3380CC4-5D6E-409C-BE32-E72D297353CC}">
              <c16:uniqueId val="{00000000-7DCB-474E-8552-CE6EEE0B159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19</xdr:row>
      <xdr:rowOff>0</xdr:rowOff>
    </xdr:from>
    <xdr:to>
      <xdr:col>16</xdr:col>
      <xdr:colOff>0</xdr:colOff>
      <xdr:row>34</xdr:row>
      <xdr:rowOff>0</xdr:rowOff>
    </xdr:to>
    <xdr:graphicFrame macro="">
      <xdr:nvGraphicFramePr>
        <xdr:cNvPr id="2" name="Chart">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34</xdr:row>
      <xdr:rowOff>0</xdr:rowOff>
    </xdr:from>
    <xdr:to>
      <xdr:col>16</xdr:col>
      <xdr:colOff>0</xdr:colOff>
      <xdr:row>50</xdr:row>
      <xdr:rowOff>0</xdr:rowOff>
    </xdr:to>
    <xdr:graphicFrame macro="">
      <xdr:nvGraphicFramePr>
        <xdr:cNvPr id="3" name="Chart">
          <a:extLst>
            <a:ext uri="{FF2B5EF4-FFF2-40B4-BE49-F238E27FC236}">
              <a16:creationId xmlns:a16="http://schemas.microsoft.com/office/drawing/2014/main" id="{00000000-0008-0000-2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eklyProgressTable" displayName="WeeklyProgressTable" ref="A1:T31" totalsRowShown="0">
  <tableColumns count="20">
    <tableColumn id="1" xr3:uid="{00000000-0010-0000-0000-000001000000}" name="الأسبوع_x000a_Week"/>
    <tableColumn id="2" xr3:uid="{00000000-0010-0000-0000-000002000000}" name="المعلم_x000a_Teacher"/>
    <tableColumn id="3" xr3:uid="{00000000-0010-0000-0000-000003000000}" name="المرحلة_x000a_Phase"/>
    <tableColumn id="4" xr3:uid="{00000000-0010-0000-0000-000004000000}" name="الصف_x000a_Grade"/>
    <tableColumn id="5" xr3:uid="{00000000-0010-0000-0000-000005000000}" name="الشعبة_x000a_Section"/>
    <tableColumn id="6" xr3:uid="{00000000-0010-0000-0000-000006000000}" name="التاريخ_x000a_Date"/>
    <tableColumn id="7" xr3:uid="{00000000-0010-0000-0000-000007000000}" name="المحور_x000a_Domain"/>
    <tableColumn id="8" xr3:uid="{00000000-0010-0000-0000-000008000000}" name="الوحدة_x000a_Unit"/>
    <tableColumn id="9" xr3:uid="{00000000-0010-0000-0000-000009000000}" name="عنوان الدرس_x000a_Lesson Title"/>
    <tableColumn id="10" xr3:uid="{00000000-0010-0000-0000-00000A000000}" name="معيار النجاح_x000a_Success Criterion"/>
    <tableColumn id="11" xr3:uid="{00000000-0010-0000-0000-00000B000000}" name="نواتج التعلّم_x000a_Learning Outcomes"/>
    <tableColumn id="12" xr3:uid="{00000000-0010-0000-0000-00000C000000}" name="البيانات الأساسية_x000a_Core Planning (17)"/>
    <tableColumn id="13" xr3:uid="{00000000-0010-0000-0000-00000D000000}" name="التمايز_x000a_Differentiation (4)"/>
    <tableColumn id="14" xr3:uid="{00000000-0010-0000-0000-00000E000000}" name="الحصة الأولى_x000a_First Period (9)"/>
    <tableColumn id="15" xr3:uid="{00000000-0010-0000-0000-00000F000000}" name="الحصة الثانية_x000a_Second Period (9)"/>
    <tableColumn id="16" xr3:uid="{00000000-0010-0000-0000-000010000000}" name="التأمل_x000a_Reflection (1)"/>
    <tableColumn id="17" xr3:uid="{00000000-0010-0000-0000-000011000000}" name="المنجز_x000a_Completed"/>
    <tableColumn id="18" xr3:uid="{00000000-0010-0000-0000-000012000000}" name="نسبة الإنجاز_x000a_Completion %"/>
    <tableColumn id="19" xr3:uid="{00000000-0010-0000-0000-000013000000}" name="الحالة_x000a_Status"/>
    <tableColumn id="20" xr3:uid="{00000000-0010-0000-0000-000014000000}" name="المتابعة التالية_x000a_Next A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54"/>
  <sheetViews>
    <sheetView workbookViewId="0">
      <selection activeCell="E4" sqref="E4:H4"/>
    </sheetView>
  </sheetViews>
  <sheetFormatPr defaultRowHeight="14"/>
  <cols>
    <col min="1" max="1" width="9" customWidth="1"/>
    <col min="2" max="2" width="13" customWidth="1"/>
    <col min="3" max="4" width="24" customWidth="1"/>
    <col min="5" max="5" width="28" customWidth="1"/>
    <col min="6" max="6" width="13" customWidth="1"/>
    <col min="7" max="7" width="20" customWidth="1"/>
    <col min="8" max="8" width="34" customWidth="1"/>
    <col min="9" max="16" width="13" customWidth="1"/>
    <col min="18" max="19" width="3" customWidth="1"/>
  </cols>
  <sheetData>
    <row r="1" spans="1:19" ht="22.65" customHeight="1">
      <c r="A1" s="38" t="s">
        <v>215</v>
      </c>
      <c r="B1" s="39"/>
      <c r="C1" s="39"/>
      <c r="D1" s="39"/>
      <c r="E1" s="39"/>
      <c r="F1" s="39"/>
      <c r="G1" s="39"/>
      <c r="H1" s="39"/>
      <c r="I1" s="39"/>
      <c r="J1" s="39"/>
      <c r="K1" s="39"/>
      <c r="L1" s="39"/>
      <c r="M1" s="39"/>
      <c r="N1" s="39"/>
      <c r="O1" s="39"/>
      <c r="P1" s="40"/>
      <c r="R1" s="22" t="s">
        <v>216</v>
      </c>
      <c r="S1" s="22" t="s">
        <v>217</v>
      </c>
    </row>
    <row r="2" spans="1:19" ht="22.65" customHeight="1">
      <c r="A2" s="41"/>
      <c r="B2" s="42"/>
      <c r="C2" s="42"/>
      <c r="D2" s="42"/>
      <c r="E2" s="42"/>
      <c r="F2" s="42"/>
      <c r="G2" s="42"/>
      <c r="H2" s="42"/>
      <c r="I2" s="42"/>
      <c r="J2" s="42"/>
      <c r="K2" s="42"/>
      <c r="L2" s="42"/>
      <c r="M2" s="42"/>
      <c r="N2" s="42"/>
      <c r="O2" s="42"/>
      <c r="P2" s="43"/>
      <c r="R2" s="22">
        <v>1</v>
      </c>
      <c r="S2" s="23">
        <f>TRACKER!R2</f>
        <v>2.5000000000000001E-2</v>
      </c>
    </row>
    <row r="3" spans="1:19">
      <c r="A3" s="44" t="s">
        <v>218</v>
      </c>
      <c r="B3" s="44"/>
      <c r="C3" s="44"/>
      <c r="D3" s="44"/>
      <c r="E3" s="44" t="s">
        <v>219</v>
      </c>
      <c r="F3" s="44"/>
      <c r="G3" s="44"/>
      <c r="H3" s="44"/>
      <c r="I3" s="44" t="s">
        <v>220</v>
      </c>
      <c r="J3" s="44"/>
      <c r="K3" s="44"/>
      <c r="L3" s="44"/>
      <c r="M3" s="44" t="s">
        <v>221</v>
      </c>
      <c r="N3" s="44"/>
      <c r="O3" s="44"/>
      <c r="P3" s="44"/>
      <c r="R3" s="22">
        <v>2</v>
      </c>
      <c r="S3" s="23">
        <f>TRACKER!R3</f>
        <v>0</v>
      </c>
    </row>
    <row r="4" spans="1:19" ht="24.5" customHeight="1">
      <c r="A4" s="45"/>
      <c r="B4" s="45"/>
      <c r="C4" s="45"/>
      <c r="D4" s="45"/>
      <c r="E4" s="45">
        <v>1</v>
      </c>
      <c r="F4" s="45"/>
      <c r="G4" s="45"/>
      <c r="H4" s="45"/>
      <c r="I4" s="45" t="s">
        <v>222</v>
      </c>
      <c r="J4" s="45"/>
      <c r="K4" s="45"/>
      <c r="L4" s="45"/>
      <c r="M4" s="45" t="s">
        <v>223</v>
      </c>
      <c r="N4" s="45"/>
      <c r="O4" s="45"/>
      <c r="P4" s="45"/>
      <c r="R4" s="22">
        <v>3</v>
      </c>
      <c r="S4" s="23">
        <f>TRACKER!R4</f>
        <v>0</v>
      </c>
    </row>
    <row r="5" spans="1:19">
      <c r="R5" s="22">
        <v>4</v>
      </c>
      <c r="S5" s="23">
        <f>TRACKER!R5</f>
        <v>0</v>
      </c>
    </row>
    <row r="6" spans="1:19" ht="17.5" customHeight="1">
      <c r="A6" s="46" t="s">
        <v>224</v>
      </c>
      <c r="B6" s="46"/>
      <c r="C6" s="46"/>
      <c r="D6" s="46"/>
      <c r="E6" s="46" t="s">
        <v>225</v>
      </c>
      <c r="F6" s="46"/>
      <c r="G6" s="46"/>
      <c r="H6" s="46"/>
      <c r="I6" s="46" t="s">
        <v>226</v>
      </c>
      <c r="J6" s="46"/>
      <c r="K6" s="46"/>
      <c r="L6" s="46"/>
      <c r="M6" s="46" t="s">
        <v>227</v>
      </c>
      <c r="N6" s="46"/>
      <c r="O6" s="46"/>
      <c r="P6" s="46"/>
      <c r="R6" s="22">
        <v>5</v>
      </c>
      <c r="S6" s="23">
        <f>TRACKER!R6</f>
        <v>0</v>
      </c>
    </row>
    <row r="7" spans="1:19">
      <c r="A7" s="47">
        <f>COUNTIF(TRACKER!$S$2:$S$31,"مكتمل / Complete")</f>
        <v>0</v>
      </c>
      <c r="B7" s="47"/>
      <c r="C7" s="47"/>
      <c r="D7" s="47"/>
      <c r="E7" s="47">
        <f>COUNTIF(TRACKER!$S$2:$S$31,"قيد التنفيذ / In Progress")</f>
        <v>1</v>
      </c>
      <c r="F7" s="47"/>
      <c r="G7" s="47"/>
      <c r="H7" s="47"/>
      <c r="I7" s="47">
        <f>COUNTIF(TRACKER!$S$2:$S$31,"لم يبدأ / Not Started")</f>
        <v>29</v>
      </c>
      <c r="J7" s="47"/>
      <c r="K7" s="47"/>
      <c r="L7" s="47"/>
      <c r="M7" s="48">
        <f>AVERAGE(TRACKER!$R$2:$R$31)</f>
        <v>8.3333333333333339E-4</v>
      </c>
      <c r="N7" s="48"/>
      <c r="O7" s="48"/>
      <c r="P7" s="48"/>
      <c r="R7" s="22">
        <v>6</v>
      </c>
      <c r="S7" s="23">
        <f>TRACKER!R7</f>
        <v>0</v>
      </c>
    </row>
    <row r="8" spans="1:19">
      <c r="A8" s="47"/>
      <c r="B8" s="47"/>
      <c r="C8" s="47"/>
      <c r="D8" s="47"/>
      <c r="E8" s="47"/>
      <c r="F8" s="47"/>
      <c r="G8" s="47"/>
      <c r="H8" s="47"/>
      <c r="I8" s="47"/>
      <c r="J8" s="47"/>
      <c r="K8" s="47"/>
      <c r="L8" s="47"/>
      <c r="M8" s="48"/>
      <c r="N8" s="48"/>
      <c r="O8" s="48"/>
      <c r="P8" s="48"/>
      <c r="R8" s="22">
        <v>7</v>
      </c>
      <c r="S8" s="23">
        <f>TRACKER!R8</f>
        <v>0</v>
      </c>
    </row>
    <row r="9" spans="1:19">
      <c r="R9" s="22">
        <v>8</v>
      </c>
      <c r="S9" s="23">
        <f>TRACKER!R9</f>
        <v>0</v>
      </c>
    </row>
    <row r="10" spans="1:19" ht="24" customHeight="1">
      <c r="A10" s="29" t="s">
        <v>228</v>
      </c>
      <c r="B10" s="29"/>
      <c r="C10" s="29"/>
      <c r="D10" s="29" t="s">
        <v>229</v>
      </c>
      <c r="E10" s="29"/>
      <c r="F10" s="29"/>
      <c r="G10" s="29" t="s">
        <v>163</v>
      </c>
      <c r="H10" s="29"/>
      <c r="I10" s="29"/>
      <c r="J10" s="29" t="s">
        <v>164</v>
      </c>
      <c r="K10" s="29"/>
      <c r="L10" s="29"/>
      <c r="M10" s="29" t="s">
        <v>230</v>
      </c>
      <c r="N10" s="29"/>
      <c r="O10" s="29"/>
      <c r="P10" s="29"/>
      <c r="R10" s="22">
        <v>9</v>
      </c>
      <c r="S10" s="23">
        <f>TRACKER!R10</f>
        <v>0</v>
      </c>
    </row>
    <row r="11" spans="1:19">
      <c r="A11" s="49">
        <f>SUM(TRACKER!$L$2:$L$31)/(30*17)</f>
        <v>1.9607843137254902E-3</v>
      </c>
      <c r="B11" s="49"/>
      <c r="C11" s="49"/>
      <c r="D11" s="49">
        <f>SUM(TRACKER!$M$2:$M$31)/(30*4)</f>
        <v>0</v>
      </c>
      <c r="E11" s="49"/>
      <c r="F11" s="49"/>
      <c r="G11" s="49">
        <f>SUM(TRACKER!$N$2:$N$31)/(30*9)</f>
        <v>0</v>
      </c>
      <c r="H11" s="49"/>
      <c r="I11" s="49"/>
      <c r="J11" s="49">
        <f>SUM(TRACKER!$O$2:$O$31)/(30*9)</f>
        <v>0</v>
      </c>
      <c r="K11" s="49"/>
      <c r="L11" s="49"/>
      <c r="M11" s="49">
        <f>SUM(TRACKER!$P$2:$P$31)/30</f>
        <v>0</v>
      </c>
      <c r="N11" s="49"/>
      <c r="O11" s="49"/>
      <c r="P11" s="49"/>
      <c r="R11" s="22">
        <v>10</v>
      </c>
      <c r="S11" s="23">
        <f>TRACKER!R11</f>
        <v>0</v>
      </c>
    </row>
    <row r="12" spans="1:19">
      <c r="A12" s="49"/>
      <c r="B12" s="49"/>
      <c r="C12" s="49"/>
      <c r="D12" s="49"/>
      <c r="E12" s="49"/>
      <c r="F12" s="49"/>
      <c r="G12" s="49"/>
      <c r="H12" s="49"/>
      <c r="I12" s="49"/>
      <c r="J12" s="49"/>
      <c r="K12" s="49"/>
      <c r="L12" s="49"/>
      <c r="M12" s="49"/>
      <c r="N12" s="49"/>
      <c r="O12" s="49"/>
      <c r="P12" s="49"/>
      <c r="R12" s="22">
        <v>11</v>
      </c>
      <c r="S12" s="23">
        <f>TRACKER!R12</f>
        <v>0</v>
      </c>
    </row>
    <row r="13" spans="1:19">
      <c r="R13" s="22">
        <v>12</v>
      </c>
      <c r="S13" s="23">
        <f>TRACKER!R13</f>
        <v>0</v>
      </c>
    </row>
    <row r="14" spans="1:19">
      <c r="A14" s="50" t="s">
        <v>231</v>
      </c>
      <c r="B14" s="50"/>
      <c r="C14" s="50"/>
      <c r="D14" s="50"/>
      <c r="E14" s="50"/>
      <c r="F14" s="50"/>
      <c r="G14" s="50"/>
      <c r="H14" s="50"/>
      <c r="I14" s="50"/>
      <c r="J14" s="50"/>
      <c r="K14" s="50"/>
      <c r="L14" s="50"/>
      <c r="M14" s="50"/>
      <c r="N14" s="50"/>
      <c r="O14" s="50"/>
      <c r="P14" s="50"/>
      <c r="R14" s="22">
        <v>13</v>
      </c>
      <c r="S14" s="23">
        <f>TRACKER!R14</f>
        <v>0</v>
      </c>
    </row>
    <row r="15" spans="1:19">
      <c r="A15" s="51" t="s">
        <v>232</v>
      </c>
      <c r="B15" s="51"/>
      <c r="C15" s="51"/>
      <c r="D15" s="51" t="s">
        <v>233</v>
      </c>
      <c r="E15" s="51"/>
      <c r="F15" s="51"/>
      <c r="G15" s="51" t="s">
        <v>234</v>
      </c>
      <c r="H15" s="51"/>
      <c r="I15" s="51"/>
      <c r="J15" s="51"/>
      <c r="K15" s="51"/>
      <c r="L15" s="51" t="s">
        <v>235</v>
      </c>
      <c r="M15" s="51"/>
      <c r="N15" s="51"/>
      <c r="O15" s="51"/>
      <c r="P15" s="51"/>
      <c r="R15" s="22">
        <v>14</v>
      </c>
      <c r="S15" s="23">
        <f>TRACKER!R15</f>
        <v>0</v>
      </c>
    </row>
    <row r="16" spans="1:19">
      <c r="A16" s="52">
        <f>IFERROR(VLOOKUP($E$4,TRACKER!$A$2:$T$31,18,FALSE),0)</f>
        <v>2.5000000000000001E-2</v>
      </c>
      <c r="B16" s="52"/>
      <c r="C16" s="52"/>
      <c r="D16" s="53" t="str">
        <f>IFERROR(VLOOKUP($E$4,TRACKER!$A$2:$T$31,19,FALSE),"")</f>
        <v>قيد التنفيذ / In Progress</v>
      </c>
      <c r="E16" s="53"/>
      <c r="F16" s="53"/>
      <c r="G16" s="53" t="str">
        <f>IFERROR(VLOOKUP($E$4,TRACKER!$A$2:$T$31,20,FALSE),"")</f>
        <v>أكمل البيانات الأساسية / Complete core planning fields</v>
      </c>
      <c r="H16" s="53"/>
      <c r="I16" s="53"/>
      <c r="J16" s="53"/>
      <c r="K16" s="53"/>
      <c r="L16" s="53" t="str">
        <f>IFERROR(VLOOKUP($E$4,TRACKER!$A$2:$T$31,9,FALSE),"")</f>
        <v/>
      </c>
      <c r="M16" s="53"/>
      <c r="N16" s="53"/>
      <c r="O16" s="53"/>
      <c r="P16" s="53"/>
      <c r="R16" s="22">
        <v>15</v>
      </c>
      <c r="S16" s="23">
        <f>TRACKER!R16</f>
        <v>0</v>
      </c>
    </row>
    <row r="17" spans="1:19">
      <c r="A17" s="52"/>
      <c r="B17" s="52"/>
      <c r="C17" s="52"/>
      <c r="D17" s="53"/>
      <c r="E17" s="53"/>
      <c r="F17" s="53"/>
      <c r="G17" s="53"/>
      <c r="H17" s="53"/>
      <c r="I17" s="53"/>
      <c r="J17" s="53"/>
      <c r="K17" s="53"/>
      <c r="L17" s="53"/>
      <c r="M17" s="53"/>
      <c r="N17" s="53"/>
      <c r="O17" s="53"/>
      <c r="P17" s="53"/>
      <c r="R17" s="22">
        <v>16</v>
      </c>
      <c r="S17" s="23">
        <f>TRACKER!R17</f>
        <v>0</v>
      </c>
    </row>
    <row r="18" spans="1:19">
      <c r="R18" s="22">
        <v>17</v>
      </c>
      <c r="S18" s="23">
        <f>TRACKER!R18</f>
        <v>0</v>
      </c>
    </row>
    <row r="19" spans="1:19">
      <c r="R19" s="22">
        <v>18</v>
      </c>
      <c r="S19" s="23">
        <f>TRACKER!R19</f>
        <v>0</v>
      </c>
    </row>
    <row r="20" spans="1:19" ht="22.65" customHeight="1">
      <c r="A20" s="17" t="s">
        <v>145</v>
      </c>
      <c r="B20" s="17" t="s">
        <v>142</v>
      </c>
      <c r="C20" s="17" t="s">
        <v>144</v>
      </c>
      <c r="D20" s="17" t="s">
        <v>149</v>
      </c>
      <c r="E20" s="17" t="s">
        <v>150</v>
      </c>
      <c r="F20" s="17" t="s">
        <v>236</v>
      </c>
      <c r="G20" s="17" t="s">
        <v>213</v>
      </c>
      <c r="H20" s="17" t="s">
        <v>237</v>
      </c>
      <c r="R20" s="22">
        <v>19</v>
      </c>
      <c r="S20" s="23">
        <f>TRACKER!R20</f>
        <v>0</v>
      </c>
    </row>
    <row r="21" spans="1:19" ht="20" customHeight="1">
      <c r="A21" s="19">
        <f>TRACKER!A2</f>
        <v>1</v>
      </c>
      <c r="B21" s="20" t="str">
        <f>TRACKER!F2</f>
        <v/>
      </c>
      <c r="C21" s="18" t="str">
        <f>TRACKER!G2</f>
        <v/>
      </c>
      <c r="D21" s="18" t="str">
        <f>TRACKER!H2</f>
        <v/>
      </c>
      <c r="E21" s="18" t="str">
        <f>TRACKER!I2</f>
        <v/>
      </c>
      <c r="F21" s="21">
        <f>TRACKER!R2</f>
        <v>2.5000000000000001E-2</v>
      </c>
      <c r="G21" s="18" t="str">
        <f>TRACKER!S2</f>
        <v>قيد التنفيذ / In Progress</v>
      </c>
      <c r="H21" s="18" t="str">
        <f>TRACKER!T2</f>
        <v>أكمل البيانات الأساسية / Complete core planning fields</v>
      </c>
      <c r="R21" s="22">
        <v>20</v>
      </c>
      <c r="S21" s="23">
        <f>TRACKER!R21</f>
        <v>0</v>
      </c>
    </row>
    <row r="22" spans="1:19" ht="20" customHeight="1">
      <c r="A22" s="19">
        <f>TRACKER!A3</f>
        <v>2</v>
      </c>
      <c r="B22" s="20" t="str">
        <f>TRACKER!F3</f>
        <v/>
      </c>
      <c r="C22" s="18" t="str">
        <f>TRACKER!G3</f>
        <v/>
      </c>
      <c r="D22" s="18" t="str">
        <f>TRACKER!H3</f>
        <v/>
      </c>
      <c r="E22" s="18" t="str">
        <f>TRACKER!I3</f>
        <v/>
      </c>
      <c r="F22" s="21">
        <f>TRACKER!R3</f>
        <v>0</v>
      </c>
      <c r="G22" s="18" t="str">
        <f>TRACKER!S3</f>
        <v>لم يبدأ / Not Started</v>
      </c>
      <c r="H22" s="18" t="str">
        <f>TRACKER!T3</f>
        <v>أكمل البيانات الأساسية / Complete core planning fields</v>
      </c>
      <c r="R22" s="22">
        <v>21</v>
      </c>
      <c r="S22" s="23">
        <f>TRACKER!R22</f>
        <v>0</v>
      </c>
    </row>
    <row r="23" spans="1:19" ht="20" customHeight="1">
      <c r="A23" s="19">
        <f>TRACKER!A4</f>
        <v>3</v>
      </c>
      <c r="B23" s="20" t="str">
        <f>TRACKER!F4</f>
        <v/>
      </c>
      <c r="C23" s="18" t="str">
        <f>TRACKER!G4</f>
        <v/>
      </c>
      <c r="D23" s="18" t="str">
        <f>TRACKER!H4</f>
        <v/>
      </c>
      <c r="E23" s="18" t="str">
        <f>TRACKER!I4</f>
        <v/>
      </c>
      <c r="F23" s="21">
        <f>TRACKER!R4</f>
        <v>0</v>
      </c>
      <c r="G23" s="18" t="str">
        <f>TRACKER!S4</f>
        <v>لم يبدأ / Not Started</v>
      </c>
      <c r="H23" s="18" t="str">
        <f>TRACKER!T4</f>
        <v>أكمل البيانات الأساسية / Complete core planning fields</v>
      </c>
      <c r="R23" s="22">
        <v>22</v>
      </c>
      <c r="S23" s="23">
        <f>TRACKER!R23</f>
        <v>0</v>
      </c>
    </row>
    <row r="24" spans="1:19" ht="20" customHeight="1">
      <c r="A24" s="19">
        <f>TRACKER!A5</f>
        <v>4</v>
      </c>
      <c r="B24" s="20" t="str">
        <f>TRACKER!F5</f>
        <v/>
      </c>
      <c r="C24" s="18" t="str">
        <f>TRACKER!G5</f>
        <v/>
      </c>
      <c r="D24" s="18" t="str">
        <f>TRACKER!H5</f>
        <v/>
      </c>
      <c r="E24" s="18" t="str">
        <f>TRACKER!I5</f>
        <v/>
      </c>
      <c r="F24" s="21">
        <f>TRACKER!R5</f>
        <v>0</v>
      </c>
      <c r="G24" s="18" t="str">
        <f>TRACKER!S5</f>
        <v>لم يبدأ / Not Started</v>
      </c>
      <c r="H24" s="18" t="str">
        <f>TRACKER!T5</f>
        <v>أكمل البيانات الأساسية / Complete core planning fields</v>
      </c>
      <c r="R24" s="22">
        <v>23</v>
      </c>
      <c r="S24" s="23">
        <f>TRACKER!R24</f>
        <v>0</v>
      </c>
    </row>
    <row r="25" spans="1:19" ht="20" customHeight="1">
      <c r="A25" s="19">
        <f>TRACKER!A6</f>
        <v>5</v>
      </c>
      <c r="B25" s="20" t="str">
        <f>TRACKER!F6</f>
        <v/>
      </c>
      <c r="C25" s="18" t="str">
        <f>TRACKER!G6</f>
        <v/>
      </c>
      <c r="D25" s="18" t="str">
        <f>TRACKER!H6</f>
        <v/>
      </c>
      <c r="E25" s="18" t="str">
        <f>TRACKER!I6</f>
        <v/>
      </c>
      <c r="F25" s="21">
        <f>TRACKER!R6</f>
        <v>0</v>
      </c>
      <c r="G25" s="18" t="str">
        <f>TRACKER!S6</f>
        <v>لم يبدأ / Not Started</v>
      </c>
      <c r="H25" s="18" t="str">
        <f>TRACKER!T6</f>
        <v>أكمل البيانات الأساسية / Complete core planning fields</v>
      </c>
      <c r="R25" s="22">
        <v>24</v>
      </c>
      <c r="S25" s="23">
        <f>TRACKER!R25</f>
        <v>0</v>
      </c>
    </row>
    <row r="26" spans="1:19" ht="20" customHeight="1">
      <c r="A26" s="19">
        <f>TRACKER!A7</f>
        <v>6</v>
      </c>
      <c r="B26" s="20" t="str">
        <f>TRACKER!F7</f>
        <v/>
      </c>
      <c r="C26" s="18" t="str">
        <f>TRACKER!G7</f>
        <v/>
      </c>
      <c r="D26" s="18" t="str">
        <f>TRACKER!H7</f>
        <v/>
      </c>
      <c r="E26" s="18" t="str">
        <f>TRACKER!I7</f>
        <v/>
      </c>
      <c r="F26" s="21">
        <f>TRACKER!R7</f>
        <v>0</v>
      </c>
      <c r="G26" s="18" t="str">
        <f>TRACKER!S7</f>
        <v>لم يبدأ / Not Started</v>
      </c>
      <c r="H26" s="18" t="str">
        <f>TRACKER!T7</f>
        <v>أكمل البيانات الأساسية / Complete core planning fields</v>
      </c>
      <c r="R26" s="22">
        <v>25</v>
      </c>
      <c r="S26" s="23">
        <f>TRACKER!R26</f>
        <v>0</v>
      </c>
    </row>
    <row r="27" spans="1:19" ht="20" customHeight="1">
      <c r="A27" s="19">
        <f>TRACKER!A8</f>
        <v>7</v>
      </c>
      <c r="B27" s="20" t="str">
        <f>TRACKER!F8</f>
        <v/>
      </c>
      <c r="C27" s="18" t="str">
        <f>TRACKER!G8</f>
        <v/>
      </c>
      <c r="D27" s="18" t="str">
        <f>TRACKER!H8</f>
        <v/>
      </c>
      <c r="E27" s="18" t="str">
        <f>TRACKER!I8</f>
        <v/>
      </c>
      <c r="F27" s="21">
        <f>TRACKER!R8</f>
        <v>0</v>
      </c>
      <c r="G27" s="18" t="str">
        <f>TRACKER!S8</f>
        <v>لم يبدأ / Not Started</v>
      </c>
      <c r="H27" s="18" t="str">
        <f>TRACKER!T8</f>
        <v>أكمل البيانات الأساسية / Complete core planning fields</v>
      </c>
      <c r="R27" s="22">
        <v>26</v>
      </c>
      <c r="S27" s="23">
        <f>TRACKER!R27</f>
        <v>0</v>
      </c>
    </row>
    <row r="28" spans="1:19" ht="20" customHeight="1">
      <c r="A28" s="19">
        <f>TRACKER!A9</f>
        <v>8</v>
      </c>
      <c r="B28" s="20" t="str">
        <f>TRACKER!F9</f>
        <v/>
      </c>
      <c r="C28" s="18" t="str">
        <f>TRACKER!G9</f>
        <v/>
      </c>
      <c r="D28" s="18" t="str">
        <f>TRACKER!H9</f>
        <v/>
      </c>
      <c r="E28" s="18" t="str">
        <f>TRACKER!I9</f>
        <v/>
      </c>
      <c r="F28" s="21">
        <f>TRACKER!R9</f>
        <v>0</v>
      </c>
      <c r="G28" s="18" t="str">
        <f>TRACKER!S9</f>
        <v>لم يبدأ / Not Started</v>
      </c>
      <c r="H28" s="18" t="str">
        <f>TRACKER!T9</f>
        <v>أكمل البيانات الأساسية / Complete core planning fields</v>
      </c>
      <c r="R28" s="22">
        <v>27</v>
      </c>
      <c r="S28" s="23">
        <f>TRACKER!R28</f>
        <v>0</v>
      </c>
    </row>
    <row r="29" spans="1:19" ht="20" customHeight="1">
      <c r="A29" s="19">
        <f>TRACKER!A10</f>
        <v>9</v>
      </c>
      <c r="B29" s="20" t="str">
        <f>TRACKER!F10</f>
        <v/>
      </c>
      <c r="C29" s="18" t="str">
        <f>TRACKER!G10</f>
        <v/>
      </c>
      <c r="D29" s="18" t="str">
        <f>TRACKER!H10</f>
        <v/>
      </c>
      <c r="E29" s="18" t="str">
        <f>TRACKER!I10</f>
        <v/>
      </c>
      <c r="F29" s="21">
        <f>TRACKER!R10</f>
        <v>0</v>
      </c>
      <c r="G29" s="18" t="str">
        <f>TRACKER!S10</f>
        <v>لم يبدأ / Not Started</v>
      </c>
      <c r="H29" s="18" t="str">
        <f>TRACKER!T10</f>
        <v>أكمل البيانات الأساسية / Complete core planning fields</v>
      </c>
      <c r="R29" s="22">
        <v>28</v>
      </c>
      <c r="S29" s="23">
        <f>TRACKER!R29</f>
        <v>0</v>
      </c>
    </row>
    <row r="30" spans="1:19" ht="20" customHeight="1">
      <c r="A30" s="19">
        <f>TRACKER!A11</f>
        <v>10</v>
      </c>
      <c r="B30" s="20" t="str">
        <f>TRACKER!F11</f>
        <v/>
      </c>
      <c r="C30" s="18" t="str">
        <f>TRACKER!G11</f>
        <v/>
      </c>
      <c r="D30" s="18" t="str">
        <f>TRACKER!H11</f>
        <v/>
      </c>
      <c r="E30" s="18" t="str">
        <f>TRACKER!I11</f>
        <v/>
      </c>
      <c r="F30" s="21">
        <f>TRACKER!R11</f>
        <v>0</v>
      </c>
      <c r="G30" s="18" t="str">
        <f>TRACKER!S11</f>
        <v>لم يبدأ / Not Started</v>
      </c>
      <c r="H30" s="18" t="str">
        <f>TRACKER!T11</f>
        <v>أكمل البيانات الأساسية / Complete core planning fields</v>
      </c>
      <c r="R30" s="22">
        <v>29</v>
      </c>
      <c r="S30" s="23">
        <f>TRACKER!R30</f>
        <v>0</v>
      </c>
    </row>
    <row r="31" spans="1:19" ht="20" customHeight="1">
      <c r="A31" s="19">
        <f>TRACKER!A12</f>
        <v>11</v>
      </c>
      <c r="B31" s="20" t="str">
        <f>TRACKER!F12</f>
        <v/>
      </c>
      <c r="C31" s="18" t="str">
        <f>TRACKER!G12</f>
        <v/>
      </c>
      <c r="D31" s="18" t="str">
        <f>TRACKER!H12</f>
        <v/>
      </c>
      <c r="E31" s="18" t="str">
        <f>TRACKER!I12</f>
        <v/>
      </c>
      <c r="F31" s="21">
        <f>TRACKER!R12</f>
        <v>0</v>
      </c>
      <c r="G31" s="18" t="str">
        <f>TRACKER!S12</f>
        <v>لم يبدأ / Not Started</v>
      </c>
      <c r="H31" s="18" t="str">
        <f>TRACKER!T12</f>
        <v>أكمل البيانات الأساسية / Complete core planning fields</v>
      </c>
      <c r="R31" s="22">
        <v>30</v>
      </c>
      <c r="S31" s="23">
        <f>TRACKER!R31</f>
        <v>0</v>
      </c>
    </row>
    <row r="32" spans="1:19" ht="20" customHeight="1">
      <c r="A32" s="19">
        <f>TRACKER!A13</f>
        <v>12</v>
      </c>
      <c r="B32" s="20" t="str">
        <f>TRACKER!F13</f>
        <v/>
      </c>
      <c r="C32" s="18" t="str">
        <f>TRACKER!G13</f>
        <v/>
      </c>
      <c r="D32" s="18" t="str">
        <f>TRACKER!H13</f>
        <v/>
      </c>
      <c r="E32" s="18" t="str">
        <f>TRACKER!I13</f>
        <v/>
      </c>
      <c r="F32" s="21">
        <f>TRACKER!R13</f>
        <v>0</v>
      </c>
      <c r="G32" s="18" t="str">
        <f>TRACKER!S13</f>
        <v>لم يبدأ / Not Started</v>
      </c>
      <c r="H32" s="18" t="str">
        <f>TRACKER!T13</f>
        <v>أكمل البيانات الأساسية / Complete core planning fields</v>
      </c>
      <c r="R32" s="22"/>
      <c r="S32" s="22"/>
    </row>
    <row r="33" spans="1:19" ht="20" customHeight="1">
      <c r="A33" s="19">
        <f>TRACKER!A14</f>
        <v>13</v>
      </c>
      <c r="B33" s="20" t="str">
        <f>TRACKER!F14</f>
        <v/>
      </c>
      <c r="C33" s="18" t="str">
        <f>TRACKER!G14</f>
        <v/>
      </c>
      <c r="D33" s="18" t="str">
        <f>TRACKER!H14</f>
        <v/>
      </c>
      <c r="E33" s="18" t="str">
        <f>TRACKER!I14</f>
        <v/>
      </c>
      <c r="F33" s="21">
        <f>TRACKER!R14</f>
        <v>0</v>
      </c>
      <c r="G33" s="18" t="str">
        <f>TRACKER!S14</f>
        <v>لم يبدأ / Not Started</v>
      </c>
      <c r="H33" s="18" t="str">
        <f>TRACKER!T14</f>
        <v>أكمل البيانات الأساسية / Complete core planning fields</v>
      </c>
      <c r="R33" s="22"/>
      <c r="S33" s="22"/>
    </row>
    <row r="34" spans="1:19" ht="20" customHeight="1">
      <c r="A34" s="19">
        <f>TRACKER!A15</f>
        <v>14</v>
      </c>
      <c r="B34" s="20" t="str">
        <f>TRACKER!F15</f>
        <v/>
      </c>
      <c r="C34" s="18" t="str">
        <f>TRACKER!G15</f>
        <v/>
      </c>
      <c r="D34" s="18" t="str">
        <f>TRACKER!H15</f>
        <v/>
      </c>
      <c r="E34" s="18" t="str">
        <f>TRACKER!I15</f>
        <v/>
      </c>
      <c r="F34" s="21">
        <f>TRACKER!R15</f>
        <v>0</v>
      </c>
      <c r="G34" s="18" t="str">
        <f>TRACKER!S15</f>
        <v>لم يبدأ / Not Started</v>
      </c>
      <c r="H34" s="18" t="str">
        <f>TRACKER!T15</f>
        <v>أكمل البيانات الأساسية / Complete core planning fields</v>
      </c>
      <c r="R34" s="22" t="s">
        <v>238</v>
      </c>
      <c r="S34" s="22" t="s">
        <v>217</v>
      </c>
    </row>
    <row r="35" spans="1:19" ht="20" customHeight="1">
      <c r="A35" s="19">
        <f>TRACKER!A16</f>
        <v>15</v>
      </c>
      <c r="B35" s="20" t="str">
        <f>TRACKER!F16</f>
        <v/>
      </c>
      <c r="C35" s="18" t="str">
        <f>TRACKER!G16</f>
        <v/>
      </c>
      <c r="D35" s="18" t="str">
        <f>TRACKER!H16</f>
        <v/>
      </c>
      <c r="E35" s="18" t="str">
        <f>TRACKER!I16</f>
        <v/>
      </c>
      <c r="F35" s="21">
        <f>TRACKER!R16</f>
        <v>0</v>
      </c>
      <c r="G35" s="18" t="str">
        <f>TRACKER!S16</f>
        <v>لم يبدأ / Not Started</v>
      </c>
      <c r="H35" s="18" t="str">
        <f>TRACKER!T16</f>
        <v>أكمل البيانات الأساسية / Complete core planning fields</v>
      </c>
      <c r="R35" s="22" t="s">
        <v>239</v>
      </c>
      <c r="S35" s="23">
        <f>A11</f>
        <v>1.9607843137254902E-3</v>
      </c>
    </row>
    <row r="36" spans="1:19" ht="20" customHeight="1">
      <c r="A36" s="19">
        <f>TRACKER!A17</f>
        <v>16</v>
      </c>
      <c r="B36" s="20" t="str">
        <f>TRACKER!F17</f>
        <v/>
      </c>
      <c r="C36" s="18" t="str">
        <f>TRACKER!G17</f>
        <v/>
      </c>
      <c r="D36" s="18" t="str">
        <f>TRACKER!H17</f>
        <v/>
      </c>
      <c r="E36" s="18" t="str">
        <f>TRACKER!I17</f>
        <v/>
      </c>
      <c r="F36" s="21">
        <f>TRACKER!R17</f>
        <v>0</v>
      </c>
      <c r="G36" s="18" t="str">
        <f>TRACKER!S17</f>
        <v>لم يبدأ / Not Started</v>
      </c>
      <c r="H36" s="18" t="str">
        <f>TRACKER!T17</f>
        <v>أكمل البيانات الأساسية / Complete core planning fields</v>
      </c>
      <c r="R36" s="22" t="s">
        <v>240</v>
      </c>
      <c r="S36" s="23">
        <f>D11</f>
        <v>0</v>
      </c>
    </row>
    <row r="37" spans="1:19" ht="20" customHeight="1">
      <c r="A37" s="19">
        <f>TRACKER!A18</f>
        <v>17</v>
      </c>
      <c r="B37" s="20" t="str">
        <f>TRACKER!F18</f>
        <v/>
      </c>
      <c r="C37" s="18" t="str">
        <f>TRACKER!G18</f>
        <v/>
      </c>
      <c r="D37" s="18" t="str">
        <f>TRACKER!H18</f>
        <v/>
      </c>
      <c r="E37" s="18" t="str">
        <f>TRACKER!I18</f>
        <v/>
      </c>
      <c r="F37" s="21">
        <f>TRACKER!R18</f>
        <v>0</v>
      </c>
      <c r="G37" s="18" t="str">
        <f>TRACKER!S18</f>
        <v>لم يبدأ / Not Started</v>
      </c>
      <c r="H37" s="18" t="str">
        <f>TRACKER!T18</f>
        <v>أكمل البيانات الأساسية / Complete core planning fields</v>
      </c>
      <c r="R37" s="22" t="s">
        <v>241</v>
      </c>
      <c r="S37" s="23">
        <f>G11</f>
        <v>0</v>
      </c>
    </row>
    <row r="38" spans="1:19" ht="20" customHeight="1">
      <c r="A38" s="19">
        <f>TRACKER!A19</f>
        <v>18</v>
      </c>
      <c r="B38" s="20" t="str">
        <f>TRACKER!F19</f>
        <v/>
      </c>
      <c r="C38" s="18" t="str">
        <f>TRACKER!G19</f>
        <v/>
      </c>
      <c r="D38" s="18" t="str">
        <f>TRACKER!H19</f>
        <v/>
      </c>
      <c r="E38" s="18" t="str">
        <f>TRACKER!I19</f>
        <v/>
      </c>
      <c r="F38" s="21">
        <f>TRACKER!R19</f>
        <v>0</v>
      </c>
      <c r="G38" s="18" t="str">
        <f>TRACKER!S19</f>
        <v>لم يبدأ / Not Started</v>
      </c>
      <c r="H38" s="18" t="str">
        <f>TRACKER!T19</f>
        <v>أكمل البيانات الأساسية / Complete core planning fields</v>
      </c>
      <c r="R38" s="22" t="s">
        <v>242</v>
      </c>
      <c r="S38" s="23">
        <f>J11</f>
        <v>0</v>
      </c>
    </row>
    <row r="39" spans="1:19" ht="20" customHeight="1">
      <c r="A39" s="19">
        <f>TRACKER!A20</f>
        <v>19</v>
      </c>
      <c r="B39" s="20" t="str">
        <f>TRACKER!F20</f>
        <v/>
      </c>
      <c r="C39" s="18" t="str">
        <f>TRACKER!G20</f>
        <v/>
      </c>
      <c r="D39" s="18" t="str">
        <f>TRACKER!H20</f>
        <v/>
      </c>
      <c r="E39" s="18" t="str">
        <f>TRACKER!I20</f>
        <v/>
      </c>
      <c r="F39" s="21">
        <f>TRACKER!R20</f>
        <v>0</v>
      </c>
      <c r="G39" s="18" t="str">
        <f>TRACKER!S20</f>
        <v>لم يبدأ / Not Started</v>
      </c>
      <c r="H39" s="18" t="str">
        <f>TRACKER!T20</f>
        <v>أكمل البيانات الأساسية / Complete core planning fields</v>
      </c>
      <c r="R39" s="22" t="s">
        <v>243</v>
      </c>
      <c r="S39" s="23">
        <f>M11</f>
        <v>0</v>
      </c>
    </row>
    <row r="40" spans="1:19" ht="20" customHeight="1">
      <c r="A40" s="19">
        <f>TRACKER!A21</f>
        <v>20</v>
      </c>
      <c r="B40" s="20" t="str">
        <f>TRACKER!F21</f>
        <v/>
      </c>
      <c r="C40" s="18" t="str">
        <f>TRACKER!G21</f>
        <v/>
      </c>
      <c r="D40" s="18" t="str">
        <f>TRACKER!H21</f>
        <v/>
      </c>
      <c r="E40" s="18" t="str">
        <f>TRACKER!I21</f>
        <v/>
      </c>
      <c r="F40" s="21">
        <f>TRACKER!R21</f>
        <v>0</v>
      </c>
      <c r="G40" s="18" t="str">
        <f>TRACKER!S21</f>
        <v>لم يبدأ / Not Started</v>
      </c>
      <c r="H40" s="18" t="str">
        <f>TRACKER!T21</f>
        <v>أكمل البيانات الأساسية / Complete core planning fields</v>
      </c>
    </row>
    <row r="41" spans="1:19" ht="20" customHeight="1">
      <c r="A41" s="19">
        <f>TRACKER!A22</f>
        <v>21</v>
      </c>
      <c r="B41" s="20" t="str">
        <f>TRACKER!F22</f>
        <v/>
      </c>
      <c r="C41" s="18" t="str">
        <f>TRACKER!G22</f>
        <v/>
      </c>
      <c r="D41" s="18" t="str">
        <f>TRACKER!H22</f>
        <v/>
      </c>
      <c r="E41" s="18" t="str">
        <f>TRACKER!I22</f>
        <v/>
      </c>
      <c r="F41" s="21">
        <f>TRACKER!R22</f>
        <v>0</v>
      </c>
      <c r="G41" s="18" t="str">
        <f>TRACKER!S22</f>
        <v>لم يبدأ / Not Started</v>
      </c>
      <c r="H41" s="18" t="str">
        <f>TRACKER!T22</f>
        <v>أكمل البيانات الأساسية / Complete core planning fields</v>
      </c>
    </row>
    <row r="42" spans="1:19" ht="20" customHeight="1">
      <c r="A42" s="19">
        <f>TRACKER!A23</f>
        <v>22</v>
      </c>
      <c r="B42" s="20" t="str">
        <f>TRACKER!F23</f>
        <v/>
      </c>
      <c r="C42" s="18" t="str">
        <f>TRACKER!G23</f>
        <v/>
      </c>
      <c r="D42" s="18" t="str">
        <f>TRACKER!H23</f>
        <v/>
      </c>
      <c r="E42" s="18" t="str">
        <f>TRACKER!I23</f>
        <v/>
      </c>
      <c r="F42" s="21">
        <f>TRACKER!R23</f>
        <v>0</v>
      </c>
      <c r="G42" s="18" t="str">
        <f>TRACKER!S23</f>
        <v>لم يبدأ / Not Started</v>
      </c>
      <c r="H42" s="18" t="str">
        <f>TRACKER!T23</f>
        <v>أكمل البيانات الأساسية / Complete core planning fields</v>
      </c>
    </row>
    <row r="43" spans="1:19" ht="20" customHeight="1">
      <c r="A43" s="19">
        <f>TRACKER!A24</f>
        <v>23</v>
      </c>
      <c r="B43" s="20" t="str">
        <f>TRACKER!F24</f>
        <v/>
      </c>
      <c r="C43" s="18" t="str">
        <f>TRACKER!G24</f>
        <v/>
      </c>
      <c r="D43" s="18" t="str">
        <f>TRACKER!H24</f>
        <v/>
      </c>
      <c r="E43" s="18" t="str">
        <f>TRACKER!I24</f>
        <v/>
      </c>
      <c r="F43" s="21">
        <f>TRACKER!R24</f>
        <v>0</v>
      </c>
      <c r="G43" s="18" t="str">
        <f>TRACKER!S24</f>
        <v>لم يبدأ / Not Started</v>
      </c>
      <c r="H43" s="18" t="str">
        <f>TRACKER!T24</f>
        <v>أكمل البيانات الأساسية / Complete core planning fields</v>
      </c>
    </row>
    <row r="44" spans="1:19" ht="20" customHeight="1">
      <c r="A44" s="19">
        <f>TRACKER!A25</f>
        <v>24</v>
      </c>
      <c r="B44" s="20" t="str">
        <f>TRACKER!F25</f>
        <v/>
      </c>
      <c r="C44" s="18" t="str">
        <f>TRACKER!G25</f>
        <v/>
      </c>
      <c r="D44" s="18" t="str">
        <f>TRACKER!H25</f>
        <v/>
      </c>
      <c r="E44" s="18" t="str">
        <f>TRACKER!I25</f>
        <v/>
      </c>
      <c r="F44" s="21">
        <f>TRACKER!R25</f>
        <v>0</v>
      </c>
      <c r="G44" s="18" t="str">
        <f>TRACKER!S25</f>
        <v>لم يبدأ / Not Started</v>
      </c>
      <c r="H44" s="18" t="str">
        <f>TRACKER!T25</f>
        <v>أكمل البيانات الأساسية / Complete core planning fields</v>
      </c>
    </row>
    <row r="45" spans="1:19" ht="20" customHeight="1">
      <c r="A45" s="19">
        <f>TRACKER!A26</f>
        <v>25</v>
      </c>
      <c r="B45" s="20" t="str">
        <f>TRACKER!F26</f>
        <v/>
      </c>
      <c r="C45" s="18" t="str">
        <f>TRACKER!G26</f>
        <v/>
      </c>
      <c r="D45" s="18" t="str">
        <f>TRACKER!H26</f>
        <v/>
      </c>
      <c r="E45" s="18" t="str">
        <f>TRACKER!I26</f>
        <v/>
      </c>
      <c r="F45" s="21">
        <f>TRACKER!R26</f>
        <v>0</v>
      </c>
      <c r="G45" s="18" t="str">
        <f>TRACKER!S26</f>
        <v>لم يبدأ / Not Started</v>
      </c>
      <c r="H45" s="18" t="str">
        <f>TRACKER!T26</f>
        <v>أكمل البيانات الأساسية / Complete core planning fields</v>
      </c>
    </row>
    <row r="46" spans="1:19" ht="20" customHeight="1">
      <c r="A46" s="19">
        <f>TRACKER!A27</f>
        <v>26</v>
      </c>
      <c r="B46" s="20" t="str">
        <f>TRACKER!F27</f>
        <v/>
      </c>
      <c r="C46" s="18" t="str">
        <f>TRACKER!G27</f>
        <v/>
      </c>
      <c r="D46" s="18" t="str">
        <f>TRACKER!H27</f>
        <v/>
      </c>
      <c r="E46" s="18" t="str">
        <f>TRACKER!I27</f>
        <v/>
      </c>
      <c r="F46" s="21">
        <f>TRACKER!R27</f>
        <v>0</v>
      </c>
      <c r="G46" s="18" t="str">
        <f>TRACKER!S27</f>
        <v>لم يبدأ / Not Started</v>
      </c>
      <c r="H46" s="18" t="str">
        <f>TRACKER!T27</f>
        <v>أكمل البيانات الأساسية / Complete core planning fields</v>
      </c>
    </row>
    <row r="47" spans="1:19" ht="20" customHeight="1">
      <c r="A47" s="19">
        <f>TRACKER!A28</f>
        <v>27</v>
      </c>
      <c r="B47" s="20" t="str">
        <f>TRACKER!F28</f>
        <v/>
      </c>
      <c r="C47" s="18" t="str">
        <f>TRACKER!G28</f>
        <v/>
      </c>
      <c r="D47" s="18" t="str">
        <f>TRACKER!H28</f>
        <v/>
      </c>
      <c r="E47" s="18" t="str">
        <f>TRACKER!I28</f>
        <v/>
      </c>
      <c r="F47" s="21">
        <f>TRACKER!R28</f>
        <v>0</v>
      </c>
      <c r="G47" s="18" t="str">
        <f>TRACKER!S28</f>
        <v>لم يبدأ / Not Started</v>
      </c>
      <c r="H47" s="18" t="str">
        <f>TRACKER!T28</f>
        <v>أكمل البيانات الأساسية / Complete core planning fields</v>
      </c>
    </row>
    <row r="48" spans="1:19" ht="20" customHeight="1">
      <c r="A48" s="19">
        <f>TRACKER!A29</f>
        <v>28</v>
      </c>
      <c r="B48" s="20" t="str">
        <f>TRACKER!F29</f>
        <v/>
      </c>
      <c r="C48" s="18" t="str">
        <f>TRACKER!G29</f>
        <v/>
      </c>
      <c r="D48" s="18" t="str">
        <f>TRACKER!H29</f>
        <v/>
      </c>
      <c r="E48" s="18" t="str">
        <f>TRACKER!I29</f>
        <v/>
      </c>
      <c r="F48" s="21">
        <f>TRACKER!R29</f>
        <v>0</v>
      </c>
      <c r="G48" s="18" t="str">
        <f>TRACKER!S29</f>
        <v>لم يبدأ / Not Started</v>
      </c>
      <c r="H48" s="18" t="str">
        <f>TRACKER!T29</f>
        <v>أكمل البيانات الأساسية / Complete core planning fields</v>
      </c>
    </row>
    <row r="49" spans="1:16" ht="20" customHeight="1">
      <c r="A49" s="19">
        <f>TRACKER!A30</f>
        <v>29</v>
      </c>
      <c r="B49" s="20" t="str">
        <f>TRACKER!F30</f>
        <v/>
      </c>
      <c r="C49" s="18" t="str">
        <f>TRACKER!G30</f>
        <v/>
      </c>
      <c r="D49" s="18" t="str">
        <f>TRACKER!H30</f>
        <v/>
      </c>
      <c r="E49" s="18" t="str">
        <f>TRACKER!I30</f>
        <v/>
      </c>
      <c r="F49" s="21">
        <f>TRACKER!R30</f>
        <v>0</v>
      </c>
      <c r="G49" s="18" t="str">
        <f>TRACKER!S30</f>
        <v>لم يبدأ / Not Started</v>
      </c>
      <c r="H49" s="18" t="str">
        <f>TRACKER!T30</f>
        <v>أكمل البيانات الأساسية / Complete core planning fields</v>
      </c>
    </row>
    <row r="50" spans="1:16" ht="20" customHeight="1">
      <c r="A50" s="19">
        <f>TRACKER!A31</f>
        <v>30</v>
      </c>
      <c r="B50" s="20" t="str">
        <f>TRACKER!F31</f>
        <v/>
      </c>
      <c r="C50" s="18" t="str">
        <f>TRACKER!G31</f>
        <v/>
      </c>
      <c r="D50" s="18" t="str">
        <f>TRACKER!H31</f>
        <v/>
      </c>
      <c r="E50" s="18" t="str">
        <f>TRACKER!I31</f>
        <v/>
      </c>
      <c r="F50" s="21">
        <f>TRACKER!R31</f>
        <v>0</v>
      </c>
      <c r="G50" s="18" t="str">
        <f>TRACKER!S31</f>
        <v>لم يبدأ / Not Started</v>
      </c>
      <c r="H50" s="18" t="str">
        <f>TRACKER!T31</f>
        <v>أكمل البيانات الأساسية / Complete core planning fields</v>
      </c>
    </row>
    <row r="52" spans="1:16">
      <c r="A52" s="54" t="s">
        <v>244</v>
      </c>
      <c r="B52" s="55"/>
      <c r="C52" s="55"/>
      <c r="D52" s="55"/>
      <c r="E52" s="55"/>
      <c r="F52" s="55"/>
      <c r="G52" s="55"/>
      <c r="H52" s="55"/>
      <c r="I52" s="55"/>
      <c r="J52" s="55"/>
      <c r="K52" s="55"/>
      <c r="L52" s="55"/>
      <c r="M52" s="55"/>
      <c r="N52" s="55"/>
      <c r="O52" s="55"/>
      <c r="P52" s="56"/>
    </row>
    <row r="53" spans="1:16">
      <c r="A53" s="57"/>
      <c r="B53" s="58"/>
      <c r="C53" s="58"/>
      <c r="D53" s="58"/>
      <c r="E53" s="58"/>
      <c r="F53" s="58"/>
      <c r="G53" s="58"/>
      <c r="H53" s="58"/>
      <c r="I53" s="58"/>
      <c r="J53" s="58"/>
      <c r="K53" s="58"/>
      <c r="L53" s="58"/>
      <c r="M53" s="58"/>
      <c r="N53" s="58"/>
      <c r="O53" s="58"/>
      <c r="P53" s="59"/>
    </row>
    <row r="54" spans="1:16">
      <c r="A54" s="60"/>
      <c r="B54" s="61"/>
      <c r="C54" s="61"/>
      <c r="D54" s="61"/>
      <c r="E54" s="61"/>
      <c r="F54" s="61"/>
      <c r="G54" s="61"/>
      <c r="H54" s="61"/>
      <c r="I54" s="61"/>
      <c r="J54" s="61"/>
      <c r="K54" s="61"/>
      <c r="L54" s="61"/>
      <c r="M54" s="61"/>
      <c r="N54" s="61"/>
      <c r="O54" s="61"/>
      <c r="P54" s="62"/>
    </row>
  </sheetData>
  <mergeCells count="37">
    <mergeCell ref="A16:C17"/>
    <mergeCell ref="D16:F17"/>
    <mergeCell ref="G16:K17"/>
    <mergeCell ref="L16:P17"/>
    <mergeCell ref="A52:P54"/>
    <mergeCell ref="A14:P14"/>
    <mergeCell ref="A15:C15"/>
    <mergeCell ref="D15:F15"/>
    <mergeCell ref="G15:K15"/>
    <mergeCell ref="L15:P15"/>
    <mergeCell ref="A11:C12"/>
    <mergeCell ref="D11:F12"/>
    <mergeCell ref="G11:I12"/>
    <mergeCell ref="J11:L12"/>
    <mergeCell ref="M11:P12"/>
    <mergeCell ref="A7:D8"/>
    <mergeCell ref="E7:H8"/>
    <mergeCell ref="I7:L8"/>
    <mergeCell ref="M7:P8"/>
    <mergeCell ref="A10:C10"/>
    <mergeCell ref="D10:F10"/>
    <mergeCell ref="G10:I10"/>
    <mergeCell ref="J10:L10"/>
    <mergeCell ref="M10:P10"/>
    <mergeCell ref="A4:D4"/>
    <mergeCell ref="E4:H4"/>
    <mergeCell ref="I4:L4"/>
    <mergeCell ref="M4:P4"/>
    <mergeCell ref="A6:D6"/>
    <mergeCell ref="E6:H6"/>
    <mergeCell ref="I6:L6"/>
    <mergeCell ref="M6:P6"/>
    <mergeCell ref="A1:P2"/>
    <mergeCell ref="A3:D3"/>
    <mergeCell ref="E3:H3"/>
    <mergeCell ref="I3:L3"/>
    <mergeCell ref="M3:P3"/>
  </mergeCells>
  <conditionalFormatting sqref="F21:F50">
    <cfRule type="dataBar" priority="1">
      <dataBar>
        <cfvo type="min"/>
        <cfvo type="max"/>
        <color rgb="FF5B9BD5"/>
      </dataBar>
    </cfRule>
    <cfRule type="dataBar" priority="5">
      <dataBar>
        <cfvo type="min"/>
        <cfvo type="max"/>
        <color rgb="FF5B9BD5"/>
      </dataBar>
      <extLst>
        <ext xmlns:x14="http://schemas.microsoft.com/office/spreadsheetml/2009/9/main" uri="{B025F937-C7B1-47D3-B67F-A62EFF666E3E}">
          <x14:id>{73AC565A-CD0F-A125-1140-E257223D1650}</x14:id>
        </ext>
      </extLst>
    </cfRule>
  </conditionalFormatting>
  <conditionalFormatting sqref="G21:G50">
    <cfRule type="expression" dxfId="2" priority="2">
      <formula>$G21="مكتمل / Complete"</formula>
    </cfRule>
    <cfRule type="expression" dxfId="1" priority="3">
      <formula>$G21="قيد التنفيذ / In Progress"</formula>
    </cfRule>
    <cfRule type="expression" dxfId="0" priority="4">
      <formula>$G21="لم يبدأ / Not Started"</formula>
    </cfRule>
  </conditionalFormatting>
  <dataValidations count="2">
    <dataValidation type="list" sqref="A4" xr:uid="{00000000-0002-0000-2000-000000000000}">
      <formula1>"Ayman Abdalla,Ahmed Al-Awadhi,Mohamed Faheem,Israa Ibrahim,Hajar Ezzat,Fatima Al-Mansouri,Mohamed Joblan,Khadija Mahmoud,Aya Mohamed"</formula1>
    </dataValidation>
    <dataValidation type="list" sqref="E4" xr:uid="{00000000-0002-0000-2000-000001000000}">
      <formula1>"1,2,3,4,5,6,7,8,9,10,11,12,13,14,15,16,17,18,19,20,21,22,23,24,25,26,27,28,29,30"</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3AC565A-CD0F-A125-1140-E257223D1650}">
            <x14:dataBar>
              <x14:cfvo type="min"/>
              <x14:cfvo type="max"/>
              <x14:negativeFillColor auto="1"/>
              <x14:axisColor auto="1"/>
            </x14:dataBar>
          </x14:cfRule>
          <xm:sqref>F21:F50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31"/>
  <sheetViews>
    <sheetView topLeftCell="E1" workbookViewId="0">
      <selection activeCell="B2" sqref="B2"/>
    </sheetView>
  </sheetViews>
  <sheetFormatPr defaultRowHeight="14"/>
  <cols>
    <col min="1" max="1" width="9" customWidth="1"/>
    <col min="2" max="5" width="18" customWidth="1"/>
    <col min="6" max="6" width="12" customWidth="1"/>
    <col min="7" max="8" width="28" customWidth="1"/>
    <col min="9" max="11" width="34" customWidth="1"/>
    <col min="12" max="17" width="15" customWidth="1"/>
    <col min="18" max="18" width="14" customWidth="1"/>
    <col min="19" max="19" width="20" customWidth="1"/>
    <col min="20" max="20" width="36" customWidth="1"/>
  </cols>
  <sheetData>
    <row r="1" spans="1:20" ht="25.4" customHeight="1">
      <c r="A1" s="13" t="s">
        <v>145</v>
      </c>
      <c r="B1" s="13" t="s">
        <v>136</v>
      </c>
      <c r="C1" s="13" t="s">
        <v>137</v>
      </c>
      <c r="D1" s="13" t="s">
        <v>138</v>
      </c>
      <c r="E1" s="13" t="s">
        <v>139</v>
      </c>
      <c r="F1" s="13" t="s">
        <v>142</v>
      </c>
      <c r="G1" s="13" t="s">
        <v>144</v>
      </c>
      <c r="H1" s="13" t="s">
        <v>149</v>
      </c>
      <c r="I1" s="13" t="s">
        <v>150</v>
      </c>
      <c r="J1" s="13" t="s">
        <v>147</v>
      </c>
      <c r="K1" s="13" t="s">
        <v>148</v>
      </c>
      <c r="L1" s="13" t="s">
        <v>206</v>
      </c>
      <c r="M1" s="13" t="s">
        <v>207</v>
      </c>
      <c r="N1" s="13" t="s">
        <v>208</v>
      </c>
      <c r="O1" s="13" t="s">
        <v>209</v>
      </c>
      <c r="P1" s="13" t="s">
        <v>210</v>
      </c>
      <c r="Q1" s="13" t="s">
        <v>211</v>
      </c>
      <c r="R1" s="13" t="s">
        <v>212</v>
      </c>
      <c r="S1" s="13" t="s">
        <v>213</v>
      </c>
      <c r="T1" s="13" t="s">
        <v>214</v>
      </c>
    </row>
    <row r="2" spans="1:20">
      <c r="A2" s="14">
        <v>1</v>
      </c>
      <c r="B2" s="14" t="str">
        <f>IF('WEEK 1'!C2="","",'WEEK 1'!C2)</f>
        <v/>
      </c>
      <c r="C2" s="14" t="str">
        <f>IF('WEEK 1'!I2="","",'WEEK 1'!I2)</f>
        <v/>
      </c>
      <c r="D2" s="14" t="str">
        <f>IF('WEEK 1'!C3="","",'WEEK 1'!C3)</f>
        <v/>
      </c>
      <c r="E2" s="14" t="str">
        <f>IF('WEEK 1'!I3="","",'WEEK 1'!I3)</f>
        <v/>
      </c>
      <c r="F2" s="15" t="str">
        <f>IF('WEEK 1'!C5="","",'WEEK 1'!C5)</f>
        <v/>
      </c>
      <c r="G2" s="14" t="str">
        <f>IF('WEEK 1'!C6="","",'WEEK 1'!C6)</f>
        <v/>
      </c>
      <c r="H2" s="14" t="str">
        <f>IF('WEEK 1'!C8="","",'WEEK 1'!C8)</f>
        <v/>
      </c>
      <c r="I2" s="14" t="str">
        <f>IF('WEEK 1'!A10="","",'WEEK 1'!A10)</f>
        <v/>
      </c>
      <c r="J2" s="14" t="str">
        <f>IF('WEEK 1'!C7="","",'WEEK 1'!C7)</f>
        <v>أحكام الإسلام ومقاصده | يُحلّل الطالب خطوات العبادة أو الحكم الشرعي، ويُميّز الأداء الصحيح من غير الصحيح. / Islamic Rulings and Objectives | The student analyzes the steps of an act of worship or a legal ruling and distinguishes correct from incorrect practice.</v>
      </c>
      <c r="K2" s="14" t="str">
        <f>IF('WEEK 1'!I7="","",'WEEK 1'!I7)</f>
        <v/>
      </c>
      <c r="L2" s="14">
        <f>--('WEEK 1'!C2&lt;&gt;"")+--('WEEK 1'!I2&lt;&gt;"")+--('WEEK 1'!C3&lt;&gt;"")+--('WEEK 1'!I3&lt;&gt;"")+--('WEEK 1'!C4&lt;&gt;"")+--('WEEK 1'!I4&lt;&gt;"")+--('WEEK 1'!C5&lt;&gt;"")+--('WEEK 1'!C6&lt;&gt;"")+--('WEEK 1'!C7&lt;&gt;"")+--('WEEK 1'!I7&lt;&gt;"")+--('WEEK 1'!C8&lt;&gt;"")+--('WEEK 1'!A10&lt;&gt;"")+--('WEEK 1'!D10&lt;&gt;"")+--('WEEK 1'!H10&lt;&gt;"")+--(COUNTA('WEEK 1'!A12:D12)&gt;0)+--('WEEK 1'!E12&lt;&gt;"")+--('WEEK 1'!H12&lt;&gt;"")</f>
        <v>1</v>
      </c>
      <c r="M2" s="14">
        <f>--(LEN('WEEK 1'!B14)&gt;LEN(LISTS!$Q$2))+--(LEN('WEEK 1'!D14)&gt;LEN(LISTS!$Q$2))+--(LEN('WEEK 1'!F14)&gt;LEN(LISTS!$Q$2))+--(LEN('WEEK 1'!H14)&gt;LEN(LISTS!$Q$2))</f>
        <v>0</v>
      </c>
      <c r="N2" s="14">
        <f>--('WEEK 1'!B17&lt;&gt;"")+--('WEEK 1'!B18&lt;&gt;"")+--('WEEK 1'!B19&lt;&gt;"")+--('WEEK 1'!B20&lt;&gt;"")+--('WEEK 1'!B21&lt;&gt;"")+--(LEN('WEEK 1'!B22)&gt;LEN(LISTS!$P$2))+--('WEEK 1'!B23&lt;&gt;"")+--('WEEK 1'!B24&lt;&gt;"")+--('WEEK 1'!B25&lt;&gt;"")</f>
        <v>0</v>
      </c>
      <c r="O2" s="14">
        <f>--('WEEK 1'!G17&lt;&gt;"")+--('WEEK 1'!G18&lt;&gt;"")+--('WEEK 1'!G19&lt;&gt;"")+--('WEEK 1'!G20&lt;&gt;"")+--('WEEK 1'!G21&lt;&gt;"")+--(LEN('WEEK 1'!G22)&gt;LEN(LISTS!$P$2))+--('WEEK 1'!G23&lt;&gt;"")+--('WEEK 1'!G24&lt;&gt;"")+--('WEEK 1'!G25&lt;&gt;"")</f>
        <v>0</v>
      </c>
      <c r="P2" s="14">
        <f>--(LEN('WEEK 1'!B26)&gt;LEN(LISTS!$R$2))</f>
        <v>0</v>
      </c>
      <c r="Q2" s="14">
        <f t="shared" ref="Q2:Q31" si="0">SUM(L2:P2)</f>
        <v>1</v>
      </c>
      <c r="R2" s="16">
        <f t="shared" ref="R2:R31" si="1">Q2/40</f>
        <v>2.5000000000000001E-2</v>
      </c>
      <c r="S2" s="14" t="str">
        <f t="shared" ref="S2:S31" si="2">IF(R2=0,"لم يبدأ / Not Started",IF(R2&gt;=1,"مكتمل / Complete","قيد التنفيذ / In Progress"))</f>
        <v>قيد التنفيذ / In Progress</v>
      </c>
      <c r="T2" s="14" t="str">
        <f t="shared" ref="T2:T31" si="3">IF(R2&gt;=1,"مكتمل / Complete",IF(L2&lt;17,"أكمل البيانات الأساسية / Complete core planning fields",IF(M2&lt;4,"أكمل التمايز / Complete differentiation",IF(N2&lt;9,"أكمل الحصة الأولى / Complete First Period",IF(O2&lt;9,"أكمل الحصة الثانية / Complete Second Period","أكمل تأمل المعلم / Complete teacher reflection")))))</f>
        <v>أكمل البيانات الأساسية / Complete core planning fields</v>
      </c>
    </row>
    <row r="3" spans="1:20">
      <c r="A3" s="14">
        <v>2</v>
      </c>
      <c r="B3" s="14" t="str">
        <f>IF('WEEK 2'!C2="","",'WEEK 2'!C2)</f>
        <v/>
      </c>
      <c r="C3" s="14" t="str">
        <f>IF('WEEK 2'!I2="","",'WEEK 2'!I2)</f>
        <v/>
      </c>
      <c r="D3" s="14" t="str">
        <f>IF('WEEK 2'!C3="","",'WEEK 2'!C3)</f>
        <v/>
      </c>
      <c r="E3" s="14" t="str">
        <f>IF('WEEK 2'!I3="","",'WEEK 2'!I3)</f>
        <v/>
      </c>
      <c r="F3" s="15" t="str">
        <f>IF('WEEK 2'!C5="","",'WEEK 2'!C5)</f>
        <v/>
      </c>
      <c r="G3" s="14" t="str">
        <f>IF('WEEK 2'!C6="","",'WEEK 2'!C6)</f>
        <v/>
      </c>
      <c r="H3" s="14" t="str">
        <f>IF('WEEK 2'!C8="","",'WEEK 2'!C8)</f>
        <v/>
      </c>
      <c r="I3" s="14" t="str">
        <f>IF('WEEK 2'!A10="","",'WEEK 2'!A10)</f>
        <v/>
      </c>
      <c r="J3" s="14" t="str">
        <f>IF('WEEK 2'!C7="","",'WEEK 2'!C7)</f>
        <v/>
      </c>
      <c r="K3" s="14" t="str">
        <f>IF('WEEK 2'!I7="","",'WEEK 2'!I7)</f>
        <v/>
      </c>
      <c r="L3" s="14">
        <f>--('WEEK 2'!C2&lt;&gt;"")+--('WEEK 2'!I2&lt;&gt;"")+--('WEEK 2'!C3&lt;&gt;"")+--('WEEK 2'!I3&lt;&gt;"")+--('WEEK 2'!C4&lt;&gt;"")+--('WEEK 2'!I4&lt;&gt;"")+--('WEEK 2'!C5&lt;&gt;"")+--('WEEK 2'!C6&lt;&gt;"")+--('WEEK 2'!C7&lt;&gt;"")+--('WEEK 2'!I7&lt;&gt;"")+--('WEEK 2'!C8&lt;&gt;"")+--('WEEK 2'!A10&lt;&gt;"")+--('WEEK 2'!D10&lt;&gt;"")+--('WEEK 2'!H10&lt;&gt;"")+--(COUNTA('WEEK 2'!A12:D12)&gt;0)+--('WEEK 2'!E12&lt;&gt;"")+--('WEEK 2'!H12&lt;&gt;"")</f>
        <v>0</v>
      </c>
      <c r="M3" s="14">
        <f>--(LEN('WEEK 2'!B14)&gt;LEN(LISTS!$Q$2))+--(LEN('WEEK 2'!D14)&gt;LEN(LISTS!$Q$2))+--(LEN('WEEK 2'!F14)&gt;LEN(LISTS!$Q$2))+--(LEN('WEEK 2'!H14)&gt;LEN(LISTS!$Q$2))</f>
        <v>0</v>
      </c>
      <c r="N3" s="14">
        <f>--('WEEK 2'!B17&lt;&gt;"")+--('WEEK 2'!B18&lt;&gt;"")+--('WEEK 2'!B19&lt;&gt;"")+--('WEEK 2'!B20&lt;&gt;"")+--('WEEK 2'!B21&lt;&gt;"")+--(LEN('WEEK 2'!B22)&gt;LEN(LISTS!$P$2))+--('WEEK 2'!B23&lt;&gt;"")+--('WEEK 2'!B24&lt;&gt;"")+--('WEEK 2'!B25&lt;&gt;"")</f>
        <v>0</v>
      </c>
      <c r="O3" s="14">
        <f>--('WEEK 2'!G17&lt;&gt;"")+--('WEEK 2'!G18&lt;&gt;"")+--('WEEK 2'!G19&lt;&gt;"")+--('WEEK 2'!G20&lt;&gt;"")+--('WEEK 2'!G21&lt;&gt;"")+--(LEN('WEEK 2'!G22)&gt;LEN(LISTS!$P$2))+--('WEEK 2'!G23&lt;&gt;"")+--('WEEK 2'!G24&lt;&gt;"")+--('WEEK 2'!G25&lt;&gt;"")</f>
        <v>0</v>
      </c>
      <c r="P3" s="14">
        <f>--(LEN('WEEK 2'!B26)&gt;LEN(LISTS!$R$2))</f>
        <v>0</v>
      </c>
      <c r="Q3" s="14">
        <f t="shared" si="0"/>
        <v>0</v>
      </c>
      <c r="R3" s="16">
        <f t="shared" si="1"/>
        <v>0</v>
      </c>
      <c r="S3" s="14" t="str">
        <f t="shared" si="2"/>
        <v>لم يبدأ / Not Started</v>
      </c>
      <c r="T3" s="14" t="str">
        <f t="shared" si="3"/>
        <v>أكمل البيانات الأساسية / Complete core planning fields</v>
      </c>
    </row>
    <row r="4" spans="1:20">
      <c r="A4" s="14">
        <v>3</v>
      </c>
      <c r="B4" s="14" t="str">
        <f>IF('WEEK 3'!C2="","",'WEEK 3'!C2)</f>
        <v/>
      </c>
      <c r="C4" s="14" t="str">
        <f>IF('WEEK 3'!I2="","",'WEEK 3'!I2)</f>
        <v/>
      </c>
      <c r="D4" s="14" t="str">
        <f>IF('WEEK 3'!C3="","",'WEEK 3'!C3)</f>
        <v/>
      </c>
      <c r="E4" s="14" t="str">
        <f>IF('WEEK 3'!I3="","",'WEEK 3'!I3)</f>
        <v/>
      </c>
      <c r="F4" s="15" t="str">
        <f>IF('WEEK 3'!C5="","",'WEEK 3'!C5)</f>
        <v/>
      </c>
      <c r="G4" s="14" t="str">
        <f>IF('WEEK 3'!C6="","",'WEEK 3'!C6)</f>
        <v/>
      </c>
      <c r="H4" s="14" t="str">
        <f>IF('WEEK 3'!C8="","",'WEEK 3'!C8)</f>
        <v/>
      </c>
      <c r="I4" s="14" t="str">
        <f>IF('WEEK 3'!A10="","",'WEEK 3'!A10)</f>
        <v/>
      </c>
      <c r="J4" s="14" t="str">
        <f>IF('WEEK 3'!C7="","",'WEEK 3'!C7)</f>
        <v/>
      </c>
      <c r="K4" s="14" t="str">
        <f>IF('WEEK 3'!I7="","",'WEEK 3'!I7)</f>
        <v/>
      </c>
      <c r="L4" s="14">
        <f>--('WEEK 3'!C2&lt;&gt;"")+--('WEEK 3'!I2&lt;&gt;"")+--('WEEK 3'!C3&lt;&gt;"")+--('WEEK 3'!I3&lt;&gt;"")+--('WEEK 3'!C4&lt;&gt;"")+--('WEEK 3'!I4&lt;&gt;"")+--('WEEK 3'!C5&lt;&gt;"")+--('WEEK 3'!C6&lt;&gt;"")+--('WEEK 3'!C7&lt;&gt;"")+--('WEEK 3'!I7&lt;&gt;"")+--('WEEK 3'!C8&lt;&gt;"")+--('WEEK 3'!A10&lt;&gt;"")+--('WEEK 3'!D10&lt;&gt;"")+--('WEEK 3'!H10&lt;&gt;"")+--(COUNTA('WEEK 3'!A12:D12)&gt;0)+--('WEEK 3'!E12&lt;&gt;"")+--('WEEK 3'!H12&lt;&gt;"")</f>
        <v>0</v>
      </c>
      <c r="M4" s="14">
        <f>--(LEN('WEEK 3'!B14)&gt;LEN(LISTS!$Q$2))+--(LEN('WEEK 3'!D14)&gt;LEN(LISTS!$Q$2))+--(LEN('WEEK 3'!F14)&gt;LEN(LISTS!$Q$2))+--(LEN('WEEK 3'!H14)&gt;LEN(LISTS!$Q$2))</f>
        <v>0</v>
      </c>
      <c r="N4" s="14">
        <f>--('WEEK 3'!B17&lt;&gt;"")+--('WEEK 3'!B18&lt;&gt;"")+--('WEEK 3'!B19&lt;&gt;"")+--('WEEK 3'!B20&lt;&gt;"")+--('WEEK 3'!B21&lt;&gt;"")+--(LEN('WEEK 3'!B22)&gt;LEN(LISTS!$P$2))+--('WEEK 3'!B23&lt;&gt;"")+--('WEEK 3'!B24&lt;&gt;"")+--('WEEK 3'!B25&lt;&gt;"")</f>
        <v>0</v>
      </c>
      <c r="O4" s="14">
        <f>--('WEEK 3'!G17&lt;&gt;"")+--('WEEK 3'!G18&lt;&gt;"")+--('WEEK 3'!G19&lt;&gt;"")+--('WEEK 3'!G20&lt;&gt;"")+--('WEEK 3'!G21&lt;&gt;"")+--(LEN('WEEK 3'!G22)&gt;LEN(LISTS!$P$2))+--('WEEK 3'!G23&lt;&gt;"")+--('WEEK 3'!G24&lt;&gt;"")+--('WEEK 3'!G25&lt;&gt;"")</f>
        <v>0</v>
      </c>
      <c r="P4" s="14">
        <f>--(LEN('WEEK 3'!B26)&gt;LEN(LISTS!$R$2))</f>
        <v>0</v>
      </c>
      <c r="Q4" s="14">
        <f t="shared" si="0"/>
        <v>0</v>
      </c>
      <c r="R4" s="16">
        <f t="shared" si="1"/>
        <v>0</v>
      </c>
      <c r="S4" s="14" t="str">
        <f t="shared" si="2"/>
        <v>لم يبدأ / Not Started</v>
      </c>
      <c r="T4" s="14" t="str">
        <f t="shared" si="3"/>
        <v>أكمل البيانات الأساسية / Complete core planning fields</v>
      </c>
    </row>
    <row r="5" spans="1:20">
      <c r="A5" s="14">
        <v>4</v>
      </c>
      <c r="B5" s="14" t="str">
        <f>IF('WEEK 4'!C2="","",'WEEK 4'!C2)</f>
        <v/>
      </c>
      <c r="C5" s="14" t="str">
        <f>IF('WEEK 4'!I2="","",'WEEK 4'!I2)</f>
        <v/>
      </c>
      <c r="D5" s="14" t="str">
        <f>IF('WEEK 4'!C3="","",'WEEK 4'!C3)</f>
        <v/>
      </c>
      <c r="E5" s="14" t="str">
        <f>IF('WEEK 4'!I3="","",'WEEK 4'!I3)</f>
        <v/>
      </c>
      <c r="F5" s="15" t="str">
        <f>IF('WEEK 4'!C5="","",'WEEK 4'!C5)</f>
        <v/>
      </c>
      <c r="G5" s="14" t="str">
        <f>IF('WEEK 4'!C6="","",'WEEK 4'!C6)</f>
        <v/>
      </c>
      <c r="H5" s="14" t="str">
        <f>IF('WEEK 4'!C8="","",'WEEK 4'!C8)</f>
        <v/>
      </c>
      <c r="I5" s="14" t="str">
        <f>IF('WEEK 4'!A10="","",'WEEK 4'!A10)</f>
        <v/>
      </c>
      <c r="J5" s="14" t="str">
        <f>IF('WEEK 4'!C7="","",'WEEK 4'!C7)</f>
        <v/>
      </c>
      <c r="K5" s="14" t="str">
        <f>IF('WEEK 4'!I7="","",'WEEK 4'!I7)</f>
        <v/>
      </c>
      <c r="L5" s="14">
        <f>--('WEEK 4'!C2&lt;&gt;"")+--('WEEK 4'!I2&lt;&gt;"")+--('WEEK 4'!C3&lt;&gt;"")+--('WEEK 4'!I3&lt;&gt;"")+--('WEEK 4'!C4&lt;&gt;"")+--('WEEK 4'!I4&lt;&gt;"")+--('WEEK 4'!C5&lt;&gt;"")+--('WEEK 4'!C6&lt;&gt;"")+--('WEEK 4'!C7&lt;&gt;"")+--('WEEK 4'!I7&lt;&gt;"")+--('WEEK 4'!C8&lt;&gt;"")+--('WEEK 4'!A10&lt;&gt;"")+--('WEEK 4'!D10&lt;&gt;"")+--('WEEK 4'!H10&lt;&gt;"")+--(COUNTA('WEEK 4'!A12:D12)&gt;0)+--('WEEK 4'!E12&lt;&gt;"")+--('WEEK 4'!H12&lt;&gt;"")</f>
        <v>0</v>
      </c>
      <c r="M5" s="14">
        <f>--(LEN('WEEK 4'!B14)&gt;LEN(LISTS!$Q$2))+--(LEN('WEEK 4'!D14)&gt;LEN(LISTS!$Q$2))+--(LEN('WEEK 4'!F14)&gt;LEN(LISTS!$Q$2))+--(LEN('WEEK 4'!H14)&gt;LEN(LISTS!$Q$2))</f>
        <v>0</v>
      </c>
      <c r="N5" s="14">
        <f>--('WEEK 4'!B17&lt;&gt;"")+--('WEEK 4'!B18&lt;&gt;"")+--('WEEK 4'!B19&lt;&gt;"")+--('WEEK 4'!B20&lt;&gt;"")+--('WEEK 4'!B21&lt;&gt;"")+--(LEN('WEEK 4'!B22)&gt;LEN(LISTS!$P$2))+--('WEEK 4'!B23&lt;&gt;"")+--('WEEK 4'!B24&lt;&gt;"")+--('WEEK 4'!B25&lt;&gt;"")</f>
        <v>0</v>
      </c>
      <c r="O5" s="14">
        <f>--('WEEK 4'!G17&lt;&gt;"")+--('WEEK 4'!G18&lt;&gt;"")+--('WEEK 4'!G19&lt;&gt;"")+--('WEEK 4'!G20&lt;&gt;"")+--('WEEK 4'!G21&lt;&gt;"")+--(LEN('WEEK 4'!G22)&gt;LEN(LISTS!$P$2))+--('WEEK 4'!G23&lt;&gt;"")+--('WEEK 4'!G24&lt;&gt;"")+--('WEEK 4'!G25&lt;&gt;"")</f>
        <v>0</v>
      </c>
      <c r="P5" s="14">
        <f>--(LEN('WEEK 4'!B26)&gt;LEN(LISTS!$R$2))</f>
        <v>0</v>
      </c>
      <c r="Q5" s="14">
        <f t="shared" si="0"/>
        <v>0</v>
      </c>
      <c r="R5" s="16">
        <f t="shared" si="1"/>
        <v>0</v>
      </c>
      <c r="S5" s="14" t="str">
        <f t="shared" si="2"/>
        <v>لم يبدأ / Not Started</v>
      </c>
      <c r="T5" s="14" t="str">
        <f t="shared" si="3"/>
        <v>أكمل البيانات الأساسية / Complete core planning fields</v>
      </c>
    </row>
    <row r="6" spans="1:20">
      <c r="A6" s="14">
        <v>5</v>
      </c>
      <c r="B6" s="14" t="str">
        <f>IF('WEEK 5'!C2="","",'WEEK 5'!C2)</f>
        <v/>
      </c>
      <c r="C6" s="14" t="str">
        <f>IF('WEEK 5'!I2="","",'WEEK 5'!I2)</f>
        <v/>
      </c>
      <c r="D6" s="14" t="str">
        <f>IF('WEEK 5'!C3="","",'WEEK 5'!C3)</f>
        <v/>
      </c>
      <c r="E6" s="14" t="str">
        <f>IF('WEEK 5'!I3="","",'WEEK 5'!I3)</f>
        <v/>
      </c>
      <c r="F6" s="15" t="str">
        <f>IF('WEEK 5'!C5="","",'WEEK 5'!C5)</f>
        <v/>
      </c>
      <c r="G6" s="14" t="str">
        <f>IF('WEEK 5'!C6="","",'WEEK 5'!C6)</f>
        <v/>
      </c>
      <c r="H6" s="14" t="str">
        <f>IF('WEEK 5'!C8="","",'WEEK 5'!C8)</f>
        <v/>
      </c>
      <c r="I6" s="14" t="str">
        <f>IF('WEEK 5'!A10="","",'WEEK 5'!A10)</f>
        <v/>
      </c>
      <c r="J6" s="14" t="str">
        <f>IF('WEEK 5'!C7="","",'WEEK 5'!C7)</f>
        <v/>
      </c>
      <c r="K6" s="14" t="str">
        <f>IF('WEEK 5'!I7="","",'WEEK 5'!I7)</f>
        <v/>
      </c>
      <c r="L6" s="14">
        <f>--('WEEK 5'!C2&lt;&gt;"")+--('WEEK 5'!I2&lt;&gt;"")+--('WEEK 5'!C3&lt;&gt;"")+--('WEEK 5'!I3&lt;&gt;"")+--('WEEK 5'!C4&lt;&gt;"")+--('WEEK 5'!I4&lt;&gt;"")+--('WEEK 5'!C5&lt;&gt;"")+--('WEEK 5'!C6&lt;&gt;"")+--('WEEK 5'!C7&lt;&gt;"")+--('WEEK 5'!I7&lt;&gt;"")+--('WEEK 5'!C8&lt;&gt;"")+--('WEEK 5'!A10&lt;&gt;"")+--('WEEK 5'!D10&lt;&gt;"")+--('WEEK 5'!H10&lt;&gt;"")+--(COUNTA('WEEK 5'!A12:D12)&gt;0)+--('WEEK 5'!E12&lt;&gt;"")+--('WEEK 5'!H12&lt;&gt;"")</f>
        <v>0</v>
      </c>
      <c r="M6" s="14">
        <f>--(LEN('WEEK 5'!B14)&gt;LEN(LISTS!$Q$2))+--(LEN('WEEK 5'!D14)&gt;LEN(LISTS!$Q$2))+--(LEN('WEEK 5'!F14)&gt;LEN(LISTS!$Q$2))+--(LEN('WEEK 5'!H14)&gt;LEN(LISTS!$Q$2))</f>
        <v>0</v>
      </c>
      <c r="N6" s="14">
        <f>--('WEEK 5'!B17&lt;&gt;"")+--('WEEK 5'!B18&lt;&gt;"")+--('WEEK 5'!B19&lt;&gt;"")+--('WEEK 5'!B20&lt;&gt;"")+--('WEEK 5'!B21&lt;&gt;"")+--(LEN('WEEK 5'!B22)&gt;LEN(LISTS!$P$2))+--('WEEK 5'!B23&lt;&gt;"")+--('WEEK 5'!B24&lt;&gt;"")+--('WEEK 5'!B25&lt;&gt;"")</f>
        <v>0</v>
      </c>
      <c r="O6" s="14">
        <f>--('WEEK 5'!G17&lt;&gt;"")+--('WEEK 5'!G18&lt;&gt;"")+--('WEEK 5'!G19&lt;&gt;"")+--('WEEK 5'!G20&lt;&gt;"")+--('WEEK 5'!G21&lt;&gt;"")+--(LEN('WEEK 5'!G22)&gt;LEN(LISTS!$P$2))+--('WEEK 5'!G23&lt;&gt;"")+--('WEEK 5'!G24&lt;&gt;"")+--('WEEK 5'!G25&lt;&gt;"")</f>
        <v>0</v>
      </c>
      <c r="P6" s="14">
        <f>--(LEN('WEEK 5'!B26)&gt;LEN(LISTS!$R$2))</f>
        <v>0</v>
      </c>
      <c r="Q6" s="14">
        <f t="shared" si="0"/>
        <v>0</v>
      </c>
      <c r="R6" s="16">
        <f t="shared" si="1"/>
        <v>0</v>
      </c>
      <c r="S6" s="14" t="str">
        <f t="shared" si="2"/>
        <v>لم يبدأ / Not Started</v>
      </c>
      <c r="T6" s="14" t="str">
        <f t="shared" si="3"/>
        <v>أكمل البيانات الأساسية / Complete core planning fields</v>
      </c>
    </row>
    <row r="7" spans="1:20">
      <c r="A7" s="14">
        <v>6</v>
      </c>
      <c r="B7" s="14" t="str">
        <f>IF('WEEK 6'!C2="","",'WEEK 6'!C2)</f>
        <v/>
      </c>
      <c r="C7" s="14" t="str">
        <f>IF('WEEK 6'!I2="","",'WEEK 6'!I2)</f>
        <v/>
      </c>
      <c r="D7" s="14" t="str">
        <f>IF('WEEK 6'!C3="","",'WEEK 6'!C3)</f>
        <v/>
      </c>
      <c r="E7" s="14" t="str">
        <f>IF('WEEK 6'!I3="","",'WEEK 6'!I3)</f>
        <v/>
      </c>
      <c r="F7" s="15" t="str">
        <f>IF('WEEK 6'!C5="","",'WEEK 6'!C5)</f>
        <v/>
      </c>
      <c r="G7" s="14" t="str">
        <f>IF('WEEK 6'!C6="","",'WEEK 6'!C6)</f>
        <v/>
      </c>
      <c r="H7" s="14" t="str">
        <f>IF('WEEK 6'!C8="","",'WEEK 6'!C8)</f>
        <v/>
      </c>
      <c r="I7" s="14" t="str">
        <f>IF('WEEK 6'!A10="","",'WEEK 6'!A10)</f>
        <v/>
      </c>
      <c r="J7" s="14" t="str">
        <f>IF('WEEK 6'!C7="","",'WEEK 6'!C7)</f>
        <v/>
      </c>
      <c r="K7" s="14" t="str">
        <f>IF('WEEK 6'!I7="","",'WEEK 6'!I7)</f>
        <v/>
      </c>
      <c r="L7" s="14">
        <f>--('WEEK 6'!C2&lt;&gt;"")+--('WEEK 6'!I2&lt;&gt;"")+--('WEEK 6'!C3&lt;&gt;"")+--('WEEK 6'!I3&lt;&gt;"")+--('WEEK 6'!C4&lt;&gt;"")+--('WEEK 6'!I4&lt;&gt;"")+--('WEEK 6'!C5&lt;&gt;"")+--('WEEK 6'!C6&lt;&gt;"")+--('WEEK 6'!C7&lt;&gt;"")+--('WEEK 6'!I7&lt;&gt;"")+--('WEEK 6'!C8&lt;&gt;"")+--('WEEK 6'!A10&lt;&gt;"")+--('WEEK 6'!D10&lt;&gt;"")+--('WEEK 6'!H10&lt;&gt;"")+--(COUNTA('WEEK 6'!A12:D12)&gt;0)+--('WEEK 6'!E12&lt;&gt;"")+--('WEEK 6'!H12&lt;&gt;"")</f>
        <v>0</v>
      </c>
      <c r="M7" s="14">
        <f>--(LEN('WEEK 6'!B14)&gt;LEN(LISTS!$Q$2))+--(LEN('WEEK 6'!D14)&gt;LEN(LISTS!$Q$2))+--(LEN('WEEK 6'!F14)&gt;LEN(LISTS!$Q$2))+--(LEN('WEEK 6'!H14)&gt;LEN(LISTS!$Q$2))</f>
        <v>0</v>
      </c>
      <c r="N7" s="14">
        <f>--('WEEK 6'!B17&lt;&gt;"")+--('WEEK 6'!B18&lt;&gt;"")+--('WEEK 6'!B19&lt;&gt;"")+--('WEEK 6'!B20&lt;&gt;"")+--('WEEK 6'!B21&lt;&gt;"")+--(LEN('WEEK 6'!B22)&gt;LEN(LISTS!$P$2))+--('WEEK 6'!B23&lt;&gt;"")+--('WEEK 6'!B24&lt;&gt;"")+--('WEEK 6'!B25&lt;&gt;"")</f>
        <v>0</v>
      </c>
      <c r="O7" s="14">
        <f>--('WEEK 6'!G17&lt;&gt;"")+--('WEEK 6'!G18&lt;&gt;"")+--('WEEK 6'!G19&lt;&gt;"")+--('WEEK 6'!G20&lt;&gt;"")+--('WEEK 6'!G21&lt;&gt;"")+--(LEN('WEEK 6'!G22)&gt;LEN(LISTS!$P$2))+--('WEEK 6'!G23&lt;&gt;"")+--('WEEK 6'!G24&lt;&gt;"")+--('WEEK 6'!G25&lt;&gt;"")</f>
        <v>0</v>
      </c>
      <c r="P7" s="14">
        <f>--(LEN('WEEK 6'!B26)&gt;LEN(LISTS!$R$2))</f>
        <v>0</v>
      </c>
      <c r="Q7" s="14">
        <f t="shared" si="0"/>
        <v>0</v>
      </c>
      <c r="R7" s="16">
        <f t="shared" si="1"/>
        <v>0</v>
      </c>
      <c r="S7" s="14" t="str">
        <f t="shared" si="2"/>
        <v>لم يبدأ / Not Started</v>
      </c>
      <c r="T7" s="14" t="str">
        <f t="shared" si="3"/>
        <v>أكمل البيانات الأساسية / Complete core planning fields</v>
      </c>
    </row>
    <row r="8" spans="1:20">
      <c r="A8" s="14">
        <v>7</v>
      </c>
      <c r="B8" s="14" t="str">
        <f>IF('WEEK 7'!C2="","",'WEEK 7'!C2)</f>
        <v/>
      </c>
      <c r="C8" s="14" t="str">
        <f>IF('WEEK 7'!I2="","",'WEEK 7'!I2)</f>
        <v/>
      </c>
      <c r="D8" s="14" t="str">
        <f>IF('WEEK 7'!C3="","",'WEEK 7'!C3)</f>
        <v/>
      </c>
      <c r="E8" s="14" t="str">
        <f>IF('WEEK 7'!I3="","",'WEEK 7'!I3)</f>
        <v/>
      </c>
      <c r="F8" s="15" t="str">
        <f>IF('WEEK 7'!C5="","",'WEEK 7'!C5)</f>
        <v/>
      </c>
      <c r="G8" s="14" t="str">
        <f>IF('WEEK 7'!C6="","",'WEEK 7'!C6)</f>
        <v/>
      </c>
      <c r="H8" s="14" t="str">
        <f>IF('WEEK 7'!C8="","",'WEEK 7'!C8)</f>
        <v/>
      </c>
      <c r="I8" s="14" t="str">
        <f>IF('WEEK 7'!A10="","",'WEEK 7'!A10)</f>
        <v/>
      </c>
      <c r="J8" s="14" t="str">
        <f>IF('WEEK 7'!C7="","",'WEEK 7'!C7)</f>
        <v/>
      </c>
      <c r="K8" s="14" t="str">
        <f>IF('WEEK 7'!I7="","",'WEEK 7'!I7)</f>
        <v/>
      </c>
      <c r="L8" s="14">
        <f>--('WEEK 7'!C2&lt;&gt;"")+--('WEEK 7'!I2&lt;&gt;"")+--('WEEK 7'!C3&lt;&gt;"")+--('WEEK 7'!I3&lt;&gt;"")+--('WEEK 7'!C4&lt;&gt;"")+--('WEEK 7'!I4&lt;&gt;"")+--('WEEK 7'!C5&lt;&gt;"")+--('WEEK 7'!C6&lt;&gt;"")+--('WEEK 7'!C7&lt;&gt;"")+--('WEEK 7'!I7&lt;&gt;"")+--('WEEK 7'!C8&lt;&gt;"")+--('WEEK 7'!A10&lt;&gt;"")+--('WEEK 7'!D10&lt;&gt;"")+--('WEEK 7'!H10&lt;&gt;"")+--(COUNTA('WEEK 7'!A12:D12)&gt;0)+--('WEEK 7'!E12&lt;&gt;"")+--('WEEK 7'!H12&lt;&gt;"")</f>
        <v>0</v>
      </c>
      <c r="M8" s="14">
        <f>--(LEN('WEEK 7'!B14)&gt;LEN(LISTS!$Q$2))+--(LEN('WEEK 7'!D14)&gt;LEN(LISTS!$Q$2))+--(LEN('WEEK 7'!F14)&gt;LEN(LISTS!$Q$2))+--(LEN('WEEK 7'!H14)&gt;LEN(LISTS!$Q$2))</f>
        <v>0</v>
      </c>
      <c r="N8" s="14">
        <f>--('WEEK 7'!B17&lt;&gt;"")+--('WEEK 7'!B18&lt;&gt;"")+--('WEEK 7'!B19&lt;&gt;"")+--('WEEK 7'!B20&lt;&gt;"")+--('WEEK 7'!B21&lt;&gt;"")+--(LEN('WEEK 7'!B22)&gt;LEN(LISTS!$P$2))+--('WEEK 7'!B23&lt;&gt;"")+--('WEEK 7'!B24&lt;&gt;"")+--('WEEK 7'!B25&lt;&gt;"")</f>
        <v>0</v>
      </c>
      <c r="O8" s="14">
        <f>--('WEEK 7'!G17&lt;&gt;"")+--('WEEK 7'!G18&lt;&gt;"")+--('WEEK 7'!G19&lt;&gt;"")+--('WEEK 7'!G20&lt;&gt;"")+--('WEEK 7'!G21&lt;&gt;"")+--(LEN('WEEK 7'!G22)&gt;LEN(LISTS!$P$2))+--('WEEK 7'!G23&lt;&gt;"")+--('WEEK 7'!G24&lt;&gt;"")+--('WEEK 7'!G25&lt;&gt;"")</f>
        <v>0</v>
      </c>
      <c r="P8" s="14">
        <f>--(LEN('WEEK 7'!B26)&gt;LEN(LISTS!$R$2))</f>
        <v>0</v>
      </c>
      <c r="Q8" s="14">
        <f t="shared" si="0"/>
        <v>0</v>
      </c>
      <c r="R8" s="16">
        <f t="shared" si="1"/>
        <v>0</v>
      </c>
      <c r="S8" s="14" t="str">
        <f t="shared" si="2"/>
        <v>لم يبدأ / Not Started</v>
      </c>
      <c r="T8" s="14" t="str">
        <f t="shared" si="3"/>
        <v>أكمل البيانات الأساسية / Complete core planning fields</v>
      </c>
    </row>
    <row r="9" spans="1:20">
      <c r="A9" s="14">
        <v>8</v>
      </c>
      <c r="B9" s="14" t="str">
        <f>IF('WEEK 8'!C2="","",'WEEK 8'!C2)</f>
        <v/>
      </c>
      <c r="C9" s="14" t="str">
        <f>IF('WEEK 8'!I2="","",'WEEK 8'!I2)</f>
        <v/>
      </c>
      <c r="D9" s="14" t="str">
        <f>IF('WEEK 8'!C3="","",'WEEK 8'!C3)</f>
        <v/>
      </c>
      <c r="E9" s="14" t="str">
        <f>IF('WEEK 8'!I3="","",'WEEK 8'!I3)</f>
        <v/>
      </c>
      <c r="F9" s="15" t="str">
        <f>IF('WEEK 8'!C5="","",'WEEK 8'!C5)</f>
        <v/>
      </c>
      <c r="G9" s="14" t="str">
        <f>IF('WEEK 8'!C6="","",'WEEK 8'!C6)</f>
        <v/>
      </c>
      <c r="H9" s="14" t="str">
        <f>IF('WEEK 8'!C8="","",'WEEK 8'!C8)</f>
        <v/>
      </c>
      <c r="I9" s="14" t="str">
        <f>IF('WEEK 8'!A10="","",'WEEK 8'!A10)</f>
        <v/>
      </c>
      <c r="J9" s="14" t="str">
        <f>IF('WEEK 8'!C7="","",'WEEK 8'!C7)</f>
        <v/>
      </c>
      <c r="K9" s="14" t="str">
        <f>IF('WEEK 8'!I7="","",'WEEK 8'!I7)</f>
        <v/>
      </c>
      <c r="L9" s="14">
        <f>--('WEEK 8'!C2&lt;&gt;"")+--('WEEK 8'!I2&lt;&gt;"")+--('WEEK 8'!C3&lt;&gt;"")+--('WEEK 8'!I3&lt;&gt;"")+--('WEEK 8'!C4&lt;&gt;"")+--('WEEK 8'!I4&lt;&gt;"")+--('WEEK 8'!C5&lt;&gt;"")+--('WEEK 8'!C6&lt;&gt;"")+--('WEEK 8'!C7&lt;&gt;"")+--('WEEK 8'!I7&lt;&gt;"")+--('WEEK 8'!C8&lt;&gt;"")+--('WEEK 8'!A10&lt;&gt;"")+--('WEEK 8'!D10&lt;&gt;"")+--('WEEK 8'!H10&lt;&gt;"")+--(COUNTA('WEEK 8'!A12:D12)&gt;0)+--('WEEK 8'!E12&lt;&gt;"")+--('WEEK 8'!H12&lt;&gt;"")</f>
        <v>0</v>
      </c>
      <c r="M9" s="14">
        <f>--(LEN('WEEK 8'!B14)&gt;LEN(LISTS!$Q$2))+--(LEN('WEEK 8'!D14)&gt;LEN(LISTS!$Q$2))+--(LEN('WEEK 8'!F14)&gt;LEN(LISTS!$Q$2))+--(LEN('WEEK 8'!H14)&gt;LEN(LISTS!$Q$2))</f>
        <v>0</v>
      </c>
      <c r="N9" s="14">
        <f>--('WEEK 8'!B17&lt;&gt;"")+--('WEEK 8'!B18&lt;&gt;"")+--('WEEK 8'!B19&lt;&gt;"")+--('WEEK 8'!B20&lt;&gt;"")+--('WEEK 8'!B21&lt;&gt;"")+--(LEN('WEEK 8'!B22)&gt;LEN(LISTS!$P$2))+--('WEEK 8'!B23&lt;&gt;"")+--('WEEK 8'!B24&lt;&gt;"")+--('WEEK 8'!B25&lt;&gt;"")</f>
        <v>0</v>
      </c>
      <c r="O9" s="14">
        <f>--('WEEK 8'!G17&lt;&gt;"")+--('WEEK 8'!G18&lt;&gt;"")+--('WEEK 8'!G19&lt;&gt;"")+--('WEEK 8'!G20&lt;&gt;"")+--('WEEK 8'!G21&lt;&gt;"")+--(LEN('WEEK 8'!G22)&gt;LEN(LISTS!$P$2))+--('WEEK 8'!G23&lt;&gt;"")+--('WEEK 8'!G24&lt;&gt;"")+--('WEEK 8'!G25&lt;&gt;"")</f>
        <v>0</v>
      </c>
      <c r="P9" s="14">
        <f>--(LEN('WEEK 8'!B26)&gt;LEN(LISTS!$R$2))</f>
        <v>0</v>
      </c>
      <c r="Q9" s="14">
        <f t="shared" si="0"/>
        <v>0</v>
      </c>
      <c r="R9" s="16">
        <f t="shared" si="1"/>
        <v>0</v>
      </c>
      <c r="S9" s="14" t="str">
        <f t="shared" si="2"/>
        <v>لم يبدأ / Not Started</v>
      </c>
      <c r="T9" s="14" t="str">
        <f t="shared" si="3"/>
        <v>أكمل البيانات الأساسية / Complete core planning fields</v>
      </c>
    </row>
    <row r="10" spans="1:20">
      <c r="A10" s="14">
        <v>9</v>
      </c>
      <c r="B10" s="14" t="str">
        <f>IF('WEEK 9'!C2="","",'WEEK 9'!C2)</f>
        <v/>
      </c>
      <c r="C10" s="14" t="str">
        <f>IF('WEEK 9'!I2="","",'WEEK 9'!I2)</f>
        <v/>
      </c>
      <c r="D10" s="14" t="str">
        <f>IF('WEEK 9'!C3="","",'WEEK 9'!C3)</f>
        <v/>
      </c>
      <c r="E10" s="14" t="str">
        <f>IF('WEEK 9'!I3="","",'WEEK 9'!I3)</f>
        <v/>
      </c>
      <c r="F10" s="15" t="str">
        <f>IF('WEEK 9'!C5="","",'WEEK 9'!C5)</f>
        <v/>
      </c>
      <c r="G10" s="14" t="str">
        <f>IF('WEEK 9'!C6="","",'WEEK 9'!C6)</f>
        <v/>
      </c>
      <c r="H10" s="14" t="str">
        <f>IF('WEEK 9'!C8="","",'WEEK 9'!C8)</f>
        <v/>
      </c>
      <c r="I10" s="14" t="str">
        <f>IF('WEEK 9'!A10="","",'WEEK 9'!A10)</f>
        <v/>
      </c>
      <c r="J10" s="14" t="str">
        <f>IF('WEEK 9'!C7="","",'WEEK 9'!C7)</f>
        <v/>
      </c>
      <c r="K10" s="14" t="str">
        <f>IF('WEEK 9'!I7="","",'WEEK 9'!I7)</f>
        <v/>
      </c>
      <c r="L10" s="14">
        <f>--('WEEK 9'!C2&lt;&gt;"")+--('WEEK 9'!I2&lt;&gt;"")+--('WEEK 9'!C3&lt;&gt;"")+--('WEEK 9'!I3&lt;&gt;"")+--('WEEK 9'!C4&lt;&gt;"")+--('WEEK 9'!I4&lt;&gt;"")+--('WEEK 9'!C5&lt;&gt;"")+--('WEEK 9'!C6&lt;&gt;"")+--('WEEK 9'!C7&lt;&gt;"")+--('WEEK 9'!I7&lt;&gt;"")+--('WEEK 9'!C8&lt;&gt;"")+--('WEEK 9'!A10&lt;&gt;"")+--('WEEK 9'!D10&lt;&gt;"")+--('WEEK 9'!H10&lt;&gt;"")+--(COUNTA('WEEK 9'!A12:D12)&gt;0)+--('WEEK 9'!E12&lt;&gt;"")+--('WEEK 9'!H12&lt;&gt;"")</f>
        <v>0</v>
      </c>
      <c r="M10" s="14">
        <f>--(LEN('WEEK 9'!B14)&gt;LEN(LISTS!$Q$2))+--(LEN('WEEK 9'!D14)&gt;LEN(LISTS!$Q$2))+--(LEN('WEEK 9'!F14)&gt;LEN(LISTS!$Q$2))+--(LEN('WEEK 9'!H14)&gt;LEN(LISTS!$Q$2))</f>
        <v>0</v>
      </c>
      <c r="N10" s="14">
        <f>--('WEEK 9'!B17&lt;&gt;"")+--('WEEK 9'!B18&lt;&gt;"")+--('WEEK 9'!B19&lt;&gt;"")+--('WEEK 9'!B20&lt;&gt;"")+--('WEEK 9'!B21&lt;&gt;"")+--(LEN('WEEK 9'!B22)&gt;LEN(LISTS!$P$2))+--('WEEK 9'!B23&lt;&gt;"")+--('WEEK 9'!B24&lt;&gt;"")+--('WEEK 9'!B25&lt;&gt;"")</f>
        <v>0</v>
      </c>
      <c r="O10" s="14">
        <f>--('WEEK 9'!G17&lt;&gt;"")+--('WEEK 9'!G18&lt;&gt;"")+--('WEEK 9'!G19&lt;&gt;"")+--('WEEK 9'!G20&lt;&gt;"")+--('WEEK 9'!G21&lt;&gt;"")+--(LEN('WEEK 9'!G22)&gt;LEN(LISTS!$P$2))+--('WEEK 9'!G23&lt;&gt;"")+--('WEEK 9'!G24&lt;&gt;"")+--('WEEK 9'!G25&lt;&gt;"")</f>
        <v>0</v>
      </c>
      <c r="P10" s="14">
        <f>--(LEN('WEEK 9'!B26)&gt;LEN(LISTS!$R$2))</f>
        <v>0</v>
      </c>
      <c r="Q10" s="14">
        <f t="shared" si="0"/>
        <v>0</v>
      </c>
      <c r="R10" s="16">
        <f t="shared" si="1"/>
        <v>0</v>
      </c>
      <c r="S10" s="14" t="str">
        <f t="shared" si="2"/>
        <v>لم يبدأ / Not Started</v>
      </c>
      <c r="T10" s="14" t="str">
        <f t="shared" si="3"/>
        <v>أكمل البيانات الأساسية / Complete core planning fields</v>
      </c>
    </row>
    <row r="11" spans="1:20">
      <c r="A11" s="14">
        <v>10</v>
      </c>
      <c r="B11" s="14" t="str">
        <f>IF('WEEK 10'!C2="","",'WEEK 10'!C2)</f>
        <v/>
      </c>
      <c r="C11" s="14" t="str">
        <f>IF('WEEK 10'!I2="","",'WEEK 10'!I2)</f>
        <v/>
      </c>
      <c r="D11" s="14" t="str">
        <f>IF('WEEK 10'!C3="","",'WEEK 10'!C3)</f>
        <v/>
      </c>
      <c r="E11" s="14" t="str">
        <f>IF('WEEK 10'!I3="","",'WEEK 10'!I3)</f>
        <v/>
      </c>
      <c r="F11" s="15" t="str">
        <f>IF('WEEK 10'!C5="","",'WEEK 10'!C5)</f>
        <v/>
      </c>
      <c r="G11" s="14" t="str">
        <f>IF('WEEK 10'!C6="","",'WEEK 10'!C6)</f>
        <v/>
      </c>
      <c r="H11" s="14" t="str">
        <f>IF('WEEK 10'!C8="","",'WEEK 10'!C8)</f>
        <v/>
      </c>
      <c r="I11" s="14" t="str">
        <f>IF('WEEK 10'!A10="","",'WEEK 10'!A10)</f>
        <v/>
      </c>
      <c r="J11" s="14" t="str">
        <f>IF('WEEK 10'!C7="","",'WEEK 10'!C7)</f>
        <v/>
      </c>
      <c r="K11" s="14" t="str">
        <f>IF('WEEK 10'!I7="","",'WEEK 10'!I7)</f>
        <v/>
      </c>
      <c r="L11" s="14">
        <f>--('WEEK 10'!C2&lt;&gt;"")+--('WEEK 10'!I2&lt;&gt;"")+--('WEEK 10'!C3&lt;&gt;"")+--('WEEK 10'!I3&lt;&gt;"")+--('WEEK 10'!C4&lt;&gt;"")+--('WEEK 10'!I4&lt;&gt;"")+--('WEEK 10'!C5&lt;&gt;"")+--('WEEK 10'!C6&lt;&gt;"")+--('WEEK 10'!C7&lt;&gt;"")+--('WEEK 10'!I7&lt;&gt;"")+--('WEEK 10'!C8&lt;&gt;"")+--('WEEK 10'!A10&lt;&gt;"")+--('WEEK 10'!D10&lt;&gt;"")+--('WEEK 10'!H10&lt;&gt;"")+--(COUNTA('WEEK 10'!A12:D12)&gt;0)+--('WEEK 10'!E12&lt;&gt;"")+--('WEEK 10'!H12&lt;&gt;"")</f>
        <v>0</v>
      </c>
      <c r="M11" s="14">
        <f>--(LEN('WEEK 10'!B14)&gt;LEN(LISTS!$Q$2))+--(LEN('WEEK 10'!D14)&gt;LEN(LISTS!$Q$2))+--(LEN('WEEK 10'!F14)&gt;LEN(LISTS!$Q$2))+--(LEN('WEEK 10'!H14)&gt;LEN(LISTS!$Q$2))</f>
        <v>0</v>
      </c>
      <c r="N11" s="14">
        <f>--('WEEK 10'!B17&lt;&gt;"")+--('WEEK 10'!B18&lt;&gt;"")+--('WEEK 10'!B19&lt;&gt;"")+--('WEEK 10'!B20&lt;&gt;"")+--('WEEK 10'!B21&lt;&gt;"")+--(LEN('WEEK 10'!B22)&gt;LEN(LISTS!$P$2))+--('WEEK 10'!B23&lt;&gt;"")+--('WEEK 10'!B24&lt;&gt;"")+--('WEEK 10'!B25&lt;&gt;"")</f>
        <v>0</v>
      </c>
      <c r="O11" s="14">
        <f>--('WEEK 10'!G17&lt;&gt;"")+--('WEEK 10'!G18&lt;&gt;"")+--('WEEK 10'!G19&lt;&gt;"")+--('WEEK 10'!G20&lt;&gt;"")+--('WEEK 10'!G21&lt;&gt;"")+--(LEN('WEEK 10'!G22)&gt;LEN(LISTS!$P$2))+--('WEEK 10'!G23&lt;&gt;"")+--('WEEK 10'!G24&lt;&gt;"")+--('WEEK 10'!G25&lt;&gt;"")</f>
        <v>0</v>
      </c>
      <c r="P11" s="14">
        <f>--(LEN('WEEK 10'!B26)&gt;LEN(LISTS!$R$2))</f>
        <v>0</v>
      </c>
      <c r="Q11" s="14">
        <f t="shared" si="0"/>
        <v>0</v>
      </c>
      <c r="R11" s="16">
        <f t="shared" si="1"/>
        <v>0</v>
      </c>
      <c r="S11" s="14" t="str">
        <f t="shared" si="2"/>
        <v>لم يبدأ / Not Started</v>
      </c>
      <c r="T11" s="14" t="str">
        <f t="shared" si="3"/>
        <v>أكمل البيانات الأساسية / Complete core planning fields</v>
      </c>
    </row>
    <row r="12" spans="1:20">
      <c r="A12" s="14">
        <v>11</v>
      </c>
      <c r="B12" s="14" t="str">
        <f>IF('WEEK 11'!C2="","",'WEEK 11'!C2)</f>
        <v/>
      </c>
      <c r="C12" s="14" t="str">
        <f>IF('WEEK 11'!I2="","",'WEEK 11'!I2)</f>
        <v/>
      </c>
      <c r="D12" s="14" t="str">
        <f>IF('WEEK 11'!C3="","",'WEEK 11'!C3)</f>
        <v/>
      </c>
      <c r="E12" s="14" t="str">
        <f>IF('WEEK 11'!I3="","",'WEEK 11'!I3)</f>
        <v/>
      </c>
      <c r="F12" s="15" t="str">
        <f>IF('WEEK 11'!C5="","",'WEEK 11'!C5)</f>
        <v/>
      </c>
      <c r="G12" s="14" t="str">
        <f>IF('WEEK 11'!C6="","",'WEEK 11'!C6)</f>
        <v/>
      </c>
      <c r="H12" s="14" t="str">
        <f>IF('WEEK 11'!C8="","",'WEEK 11'!C8)</f>
        <v/>
      </c>
      <c r="I12" s="14" t="str">
        <f>IF('WEEK 11'!A10="","",'WEEK 11'!A10)</f>
        <v/>
      </c>
      <c r="J12" s="14" t="str">
        <f>IF('WEEK 11'!C7="","",'WEEK 11'!C7)</f>
        <v/>
      </c>
      <c r="K12" s="14" t="str">
        <f>IF('WEEK 11'!I7="","",'WEEK 11'!I7)</f>
        <v/>
      </c>
      <c r="L12" s="14">
        <f>--('WEEK 11'!C2&lt;&gt;"")+--('WEEK 11'!I2&lt;&gt;"")+--('WEEK 11'!C3&lt;&gt;"")+--('WEEK 11'!I3&lt;&gt;"")+--('WEEK 11'!C4&lt;&gt;"")+--('WEEK 11'!I4&lt;&gt;"")+--('WEEK 11'!C5&lt;&gt;"")+--('WEEK 11'!C6&lt;&gt;"")+--('WEEK 11'!C7&lt;&gt;"")+--('WEEK 11'!I7&lt;&gt;"")+--('WEEK 11'!C8&lt;&gt;"")+--('WEEK 11'!A10&lt;&gt;"")+--('WEEK 11'!D10&lt;&gt;"")+--('WEEK 11'!H10&lt;&gt;"")+--(COUNTA('WEEK 11'!A12:D12)&gt;0)+--('WEEK 11'!E12&lt;&gt;"")+--('WEEK 11'!H12&lt;&gt;"")</f>
        <v>0</v>
      </c>
      <c r="M12" s="14">
        <f>--(LEN('WEEK 11'!B14)&gt;LEN(LISTS!$Q$2))+--(LEN('WEEK 11'!D14)&gt;LEN(LISTS!$Q$2))+--(LEN('WEEK 11'!F14)&gt;LEN(LISTS!$Q$2))+--(LEN('WEEK 11'!H14)&gt;LEN(LISTS!$Q$2))</f>
        <v>0</v>
      </c>
      <c r="N12" s="14">
        <f>--('WEEK 11'!B17&lt;&gt;"")+--('WEEK 11'!B18&lt;&gt;"")+--('WEEK 11'!B19&lt;&gt;"")+--('WEEK 11'!B20&lt;&gt;"")+--('WEEK 11'!B21&lt;&gt;"")+--(LEN('WEEK 11'!B22)&gt;LEN(LISTS!$P$2))+--('WEEK 11'!B23&lt;&gt;"")+--('WEEK 11'!B24&lt;&gt;"")+--('WEEK 11'!B25&lt;&gt;"")</f>
        <v>0</v>
      </c>
      <c r="O12" s="14">
        <f>--('WEEK 11'!G17&lt;&gt;"")+--('WEEK 11'!G18&lt;&gt;"")+--('WEEK 11'!G19&lt;&gt;"")+--('WEEK 11'!G20&lt;&gt;"")+--('WEEK 11'!G21&lt;&gt;"")+--(LEN('WEEK 11'!G22)&gt;LEN(LISTS!$P$2))+--('WEEK 11'!G23&lt;&gt;"")+--('WEEK 11'!G24&lt;&gt;"")+--('WEEK 11'!G25&lt;&gt;"")</f>
        <v>0</v>
      </c>
      <c r="P12" s="14">
        <f>--(LEN('WEEK 11'!B26)&gt;LEN(LISTS!$R$2))</f>
        <v>0</v>
      </c>
      <c r="Q12" s="14">
        <f t="shared" si="0"/>
        <v>0</v>
      </c>
      <c r="R12" s="16">
        <f t="shared" si="1"/>
        <v>0</v>
      </c>
      <c r="S12" s="14" t="str">
        <f t="shared" si="2"/>
        <v>لم يبدأ / Not Started</v>
      </c>
      <c r="T12" s="14" t="str">
        <f t="shared" si="3"/>
        <v>أكمل البيانات الأساسية / Complete core planning fields</v>
      </c>
    </row>
    <row r="13" spans="1:20">
      <c r="A13" s="14">
        <v>12</v>
      </c>
      <c r="B13" s="14" t="str">
        <f>IF('WEEK 12'!C2="","",'WEEK 12'!C2)</f>
        <v/>
      </c>
      <c r="C13" s="14" t="str">
        <f>IF('WEEK 12'!I2="","",'WEEK 12'!I2)</f>
        <v/>
      </c>
      <c r="D13" s="14" t="str">
        <f>IF('WEEK 12'!C3="","",'WEEK 12'!C3)</f>
        <v/>
      </c>
      <c r="E13" s="14" t="str">
        <f>IF('WEEK 12'!I3="","",'WEEK 12'!I3)</f>
        <v/>
      </c>
      <c r="F13" s="15" t="str">
        <f>IF('WEEK 12'!C5="","",'WEEK 12'!C5)</f>
        <v/>
      </c>
      <c r="G13" s="14" t="str">
        <f>IF('WEEK 12'!C6="","",'WEEK 12'!C6)</f>
        <v/>
      </c>
      <c r="H13" s="14" t="str">
        <f>IF('WEEK 12'!C8="","",'WEEK 12'!C8)</f>
        <v/>
      </c>
      <c r="I13" s="14" t="str">
        <f>IF('WEEK 12'!A10="","",'WEEK 12'!A10)</f>
        <v/>
      </c>
      <c r="J13" s="14" t="str">
        <f>IF('WEEK 12'!C7="","",'WEEK 12'!C7)</f>
        <v/>
      </c>
      <c r="K13" s="14" t="str">
        <f>IF('WEEK 12'!I7="","",'WEEK 12'!I7)</f>
        <v/>
      </c>
      <c r="L13" s="14">
        <f>--('WEEK 12'!C2&lt;&gt;"")+--('WEEK 12'!I2&lt;&gt;"")+--('WEEK 12'!C3&lt;&gt;"")+--('WEEK 12'!I3&lt;&gt;"")+--('WEEK 12'!C4&lt;&gt;"")+--('WEEK 12'!I4&lt;&gt;"")+--('WEEK 12'!C5&lt;&gt;"")+--('WEEK 12'!C6&lt;&gt;"")+--('WEEK 12'!C7&lt;&gt;"")+--('WEEK 12'!I7&lt;&gt;"")+--('WEEK 12'!C8&lt;&gt;"")+--('WEEK 12'!A10&lt;&gt;"")+--('WEEK 12'!D10&lt;&gt;"")+--('WEEK 12'!H10&lt;&gt;"")+--(COUNTA('WEEK 12'!A12:D12)&gt;0)+--('WEEK 12'!E12&lt;&gt;"")+--('WEEK 12'!H12&lt;&gt;"")</f>
        <v>0</v>
      </c>
      <c r="M13" s="14">
        <f>--(LEN('WEEK 12'!B14)&gt;LEN(LISTS!$Q$2))+--(LEN('WEEK 12'!D14)&gt;LEN(LISTS!$Q$2))+--(LEN('WEEK 12'!F14)&gt;LEN(LISTS!$Q$2))+--(LEN('WEEK 12'!H14)&gt;LEN(LISTS!$Q$2))</f>
        <v>0</v>
      </c>
      <c r="N13" s="14">
        <f>--('WEEK 12'!B17&lt;&gt;"")+--('WEEK 12'!B18&lt;&gt;"")+--('WEEK 12'!B19&lt;&gt;"")+--('WEEK 12'!B20&lt;&gt;"")+--('WEEK 12'!B21&lt;&gt;"")+--(LEN('WEEK 12'!B22)&gt;LEN(LISTS!$P$2))+--('WEEK 12'!B23&lt;&gt;"")+--('WEEK 12'!B24&lt;&gt;"")+--('WEEK 12'!B25&lt;&gt;"")</f>
        <v>0</v>
      </c>
      <c r="O13" s="14">
        <f>--('WEEK 12'!G17&lt;&gt;"")+--('WEEK 12'!G18&lt;&gt;"")+--('WEEK 12'!G19&lt;&gt;"")+--('WEEK 12'!G20&lt;&gt;"")+--('WEEK 12'!G21&lt;&gt;"")+--(LEN('WEEK 12'!G22)&gt;LEN(LISTS!$P$2))+--('WEEK 12'!G23&lt;&gt;"")+--('WEEK 12'!G24&lt;&gt;"")+--('WEEK 12'!G25&lt;&gt;"")</f>
        <v>0</v>
      </c>
      <c r="P13" s="14">
        <f>--(LEN('WEEK 12'!B26)&gt;LEN(LISTS!$R$2))</f>
        <v>0</v>
      </c>
      <c r="Q13" s="14">
        <f t="shared" si="0"/>
        <v>0</v>
      </c>
      <c r="R13" s="16">
        <f t="shared" si="1"/>
        <v>0</v>
      </c>
      <c r="S13" s="14" t="str">
        <f t="shared" si="2"/>
        <v>لم يبدأ / Not Started</v>
      </c>
      <c r="T13" s="14" t="str">
        <f t="shared" si="3"/>
        <v>أكمل البيانات الأساسية / Complete core planning fields</v>
      </c>
    </row>
    <row r="14" spans="1:20">
      <c r="A14" s="14">
        <v>13</v>
      </c>
      <c r="B14" s="14" t="str">
        <f>IF('WEEK 13'!C2="","",'WEEK 13'!C2)</f>
        <v/>
      </c>
      <c r="C14" s="14" t="str">
        <f>IF('WEEK 13'!I2="","",'WEEK 13'!I2)</f>
        <v/>
      </c>
      <c r="D14" s="14" t="str">
        <f>IF('WEEK 13'!C3="","",'WEEK 13'!C3)</f>
        <v/>
      </c>
      <c r="E14" s="14" t="str">
        <f>IF('WEEK 13'!I3="","",'WEEK 13'!I3)</f>
        <v/>
      </c>
      <c r="F14" s="15" t="str">
        <f>IF('WEEK 13'!C5="","",'WEEK 13'!C5)</f>
        <v/>
      </c>
      <c r="G14" s="14" t="str">
        <f>IF('WEEK 13'!C6="","",'WEEK 13'!C6)</f>
        <v/>
      </c>
      <c r="H14" s="14" t="str">
        <f>IF('WEEK 13'!C8="","",'WEEK 13'!C8)</f>
        <v/>
      </c>
      <c r="I14" s="14" t="str">
        <f>IF('WEEK 13'!A10="","",'WEEK 13'!A10)</f>
        <v/>
      </c>
      <c r="J14" s="14" t="str">
        <f>IF('WEEK 13'!C7="","",'WEEK 13'!C7)</f>
        <v/>
      </c>
      <c r="K14" s="14" t="str">
        <f>IF('WEEK 13'!I7="","",'WEEK 13'!I7)</f>
        <v/>
      </c>
      <c r="L14" s="14">
        <f>--('WEEK 13'!C2&lt;&gt;"")+--('WEEK 13'!I2&lt;&gt;"")+--('WEEK 13'!C3&lt;&gt;"")+--('WEEK 13'!I3&lt;&gt;"")+--('WEEK 13'!C4&lt;&gt;"")+--('WEEK 13'!I4&lt;&gt;"")+--('WEEK 13'!C5&lt;&gt;"")+--('WEEK 13'!C6&lt;&gt;"")+--('WEEK 13'!C7&lt;&gt;"")+--('WEEK 13'!I7&lt;&gt;"")+--('WEEK 13'!C8&lt;&gt;"")+--('WEEK 13'!A10&lt;&gt;"")+--('WEEK 13'!D10&lt;&gt;"")+--('WEEK 13'!H10&lt;&gt;"")+--(COUNTA('WEEK 13'!A12:D12)&gt;0)+--('WEEK 13'!E12&lt;&gt;"")+--('WEEK 13'!H12&lt;&gt;"")</f>
        <v>0</v>
      </c>
      <c r="M14" s="14">
        <f>--(LEN('WEEK 13'!B14)&gt;LEN(LISTS!$Q$2))+--(LEN('WEEK 13'!D14)&gt;LEN(LISTS!$Q$2))+--(LEN('WEEK 13'!F14)&gt;LEN(LISTS!$Q$2))+--(LEN('WEEK 13'!H14)&gt;LEN(LISTS!$Q$2))</f>
        <v>0</v>
      </c>
      <c r="N14" s="14">
        <f>--('WEEK 13'!B17&lt;&gt;"")+--('WEEK 13'!B18&lt;&gt;"")+--('WEEK 13'!B19&lt;&gt;"")+--('WEEK 13'!B20&lt;&gt;"")+--('WEEK 13'!B21&lt;&gt;"")+--(LEN('WEEK 13'!B22)&gt;LEN(LISTS!$P$2))+--('WEEK 13'!B23&lt;&gt;"")+--('WEEK 13'!B24&lt;&gt;"")+--('WEEK 13'!B25&lt;&gt;"")</f>
        <v>0</v>
      </c>
      <c r="O14" s="14">
        <f>--('WEEK 13'!G17&lt;&gt;"")+--('WEEK 13'!G18&lt;&gt;"")+--('WEEK 13'!G19&lt;&gt;"")+--('WEEK 13'!G20&lt;&gt;"")+--('WEEK 13'!G21&lt;&gt;"")+--(LEN('WEEK 13'!G22)&gt;LEN(LISTS!$P$2))+--('WEEK 13'!G23&lt;&gt;"")+--('WEEK 13'!G24&lt;&gt;"")+--('WEEK 13'!G25&lt;&gt;"")</f>
        <v>0</v>
      </c>
      <c r="P14" s="14">
        <f>--(LEN('WEEK 13'!B26)&gt;LEN(LISTS!$R$2))</f>
        <v>0</v>
      </c>
      <c r="Q14" s="14">
        <f t="shared" si="0"/>
        <v>0</v>
      </c>
      <c r="R14" s="16">
        <f t="shared" si="1"/>
        <v>0</v>
      </c>
      <c r="S14" s="14" t="str">
        <f t="shared" si="2"/>
        <v>لم يبدأ / Not Started</v>
      </c>
      <c r="T14" s="14" t="str">
        <f t="shared" si="3"/>
        <v>أكمل البيانات الأساسية / Complete core planning fields</v>
      </c>
    </row>
    <row r="15" spans="1:20">
      <c r="A15" s="14">
        <v>14</v>
      </c>
      <c r="B15" s="14" t="str">
        <f>IF('WEEK 14'!C2="","",'WEEK 14'!C2)</f>
        <v/>
      </c>
      <c r="C15" s="14" t="str">
        <f>IF('WEEK 14'!I2="","",'WEEK 14'!I2)</f>
        <v/>
      </c>
      <c r="D15" s="14" t="str">
        <f>IF('WEEK 14'!C3="","",'WEEK 14'!C3)</f>
        <v/>
      </c>
      <c r="E15" s="14" t="str">
        <f>IF('WEEK 14'!I3="","",'WEEK 14'!I3)</f>
        <v/>
      </c>
      <c r="F15" s="15" t="str">
        <f>IF('WEEK 14'!C5="","",'WEEK 14'!C5)</f>
        <v/>
      </c>
      <c r="G15" s="14" t="str">
        <f>IF('WEEK 14'!C6="","",'WEEK 14'!C6)</f>
        <v/>
      </c>
      <c r="H15" s="14" t="str">
        <f>IF('WEEK 14'!C8="","",'WEEK 14'!C8)</f>
        <v/>
      </c>
      <c r="I15" s="14" t="str">
        <f>IF('WEEK 14'!A10="","",'WEEK 14'!A10)</f>
        <v/>
      </c>
      <c r="J15" s="14" t="str">
        <f>IF('WEEK 14'!C7="","",'WEEK 14'!C7)</f>
        <v/>
      </c>
      <c r="K15" s="14" t="str">
        <f>IF('WEEK 14'!I7="","",'WEEK 14'!I7)</f>
        <v/>
      </c>
      <c r="L15" s="14">
        <f>--('WEEK 14'!C2&lt;&gt;"")+--('WEEK 14'!I2&lt;&gt;"")+--('WEEK 14'!C3&lt;&gt;"")+--('WEEK 14'!I3&lt;&gt;"")+--('WEEK 14'!C4&lt;&gt;"")+--('WEEK 14'!I4&lt;&gt;"")+--('WEEK 14'!C5&lt;&gt;"")+--('WEEK 14'!C6&lt;&gt;"")+--('WEEK 14'!C7&lt;&gt;"")+--('WEEK 14'!I7&lt;&gt;"")+--('WEEK 14'!C8&lt;&gt;"")+--('WEEK 14'!A10&lt;&gt;"")+--('WEEK 14'!D10&lt;&gt;"")+--('WEEK 14'!H10&lt;&gt;"")+--(COUNTA('WEEK 14'!A12:D12)&gt;0)+--('WEEK 14'!E12&lt;&gt;"")+--('WEEK 14'!H12&lt;&gt;"")</f>
        <v>0</v>
      </c>
      <c r="M15" s="14">
        <f>--(LEN('WEEK 14'!B14)&gt;LEN(LISTS!$Q$2))+--(LEN('WEEK 14'!D14)&gt;LEN(LISTS!$Q$2))+--(LEN('WEEK 14'!F14)&gt;LEN(LISTS!$Q$2))+--(LEN('WEEK 14'!H14)&gt;LEN(LISTS!$Q$2))</f>
        <v>0</v>
      </c>
      <c r="N15" s="14">
        <f>--('WEEK 14'!B17&lt;&gt;"")+--('WEEK 14'!B18&lt;&gt;"")+--('WEEK 14'!B19&lt;&gt;"")+--('WEEK 14'!B20&lt;&gt;"")+--('WEEK 14'!B21&lt;&gt;"")+--(LEN('WEEK 14'!B22)&gt;LEN(LISTS!$P$2))+--('WEEK 14'!B23&lt;&gt;"")+--('WEEK 14'!B24&lt;&gt;"")+--('WEEK 14'!B25&lt;&gt;"")</f>
        <v>0</v>
      </c>
      <c r="O15" s="14">
        <f>--('WEEK 14'!G17&lt;&gt;"")+--('WEEK 14'!G18&lt;&gt;"")+--('WEEK 14'!G19&lt;&gt;"")+--('WEEK 14'!G20&lt;&gt;"")+--('WEEK 14'!G21&lt;&gt;"")+--(LEN('WEEK 14'!G22)&gt;LEN(LISTS!$P$2))+--('WEEK 14'!G23&lt;&gt;"")+--('WEEK 14'!G24&lt;&gt;"")+--('WEEK 14'!G25&lt;&gt;"")</f>
        <v>0</v>
      </c>
      <c r="P15" s="14">
        <f>--(LEN('WEEK 14'!B26)&gt;LEN(LISTS!$R$2))</f>
        <v>0</v>
      </c>
      <c r="Q15" s="14">
        <f t="shared" si="0"/>
        <v>0</v>
      </c>
      <c r="R15" s="16">
        <f t="shared" si="1"/>
        <v>0</v>
      </c>
      <c r="S15" s="14" t="str">
        <f t="shared" si="2"/>
        <v>لم يبدأ / Not Started</v>
      </c>
      <c r="T15" s="14" t="str">
        <f t="shared" si="3"/>
        <v>أكمل البيانات الأساسية / Complete core planning fields</v>
      </c>
    </row>
    <row r="16" spans="1:20">
      <c r="A16" s="14">
        <v>15</v>
      </c>
      <c r="B16" s="14" t="str">
        <f>IF('WEEK 15'!C2="","",'WEEK 15'!C2)</f>
        <v/>
      </c>
      <c r="C16" s="14" t="str">
        <f>IF('WEEK 15'!I2="","",'WEEK 15'!I2)</f>
        <v/>
      </c>
      <c r="D16" s="14" t="str">
        <f>IF('WEEK 15'!C3="","",'WEEK 15'!C3)</f>
        <v/>
      </c>
      <c r="E16" s="14" t="str">
        <f>IF('WEEK 15'!I3="","",'WEEK 15'!I3)</f>
        <v/>
      </c>
      <c r="F16" s="15" t="str">
        <f>IF('WEEK 15'!C5="","",'WEEK 15'!C5)</f>
        <v/>
      </c>
      <c r="G16" s="14" t="str">
        <f>IF('WEEK 15'!C6="","",'WEEK 15'!C6)</f>
        <v/>
      </c>
      <c r="H16" s="14" t="str">
        <f>IF('WEEK 15'!C8="","",'WEEK 15'!C8)</f>
        <v/>
      </c>
      <c r="I16" s="14" t="str">
        <f>IF('WEEK 15'!A10="","",'WEEK 15'!A10)</f>
        <v/>
      </c>
      <c r="J16" s="14" t="str">
        <f>IF('WEEK 15'!C7="","",'WEEK 15'!C7)</f>
        <v/>
      </c>
      <c r="K16" s="14" t="str">
        <f>IF('WEEK 15'!I7="","",'WEEK 15'!I7)</f>
        <v/>
      </c>
      <c r="L16" s="14">
        <f>--('WEEK 15'!C2&lt;&gt;"")+--('WEEK 15'!I2&lt;&gt;"")+--('WEEK 15'!C3&lt;&gt;"")+--('WEEK 15'!I3&lt;&gt;"")+--('WEEK 15'!C4&lt;&gt;"")+--('WEEK 15'!I4&lt;&gt;"")+--('WEEK 15'!C5&lt;&gt;"")+--('WEEK 15'!C6&lt;&gt;"")+--('WEEK 15'!C7&lt;&gt;"")+--('WEEK 15'!I7&lt;&gt;"")+--('WEEK 15'!C8&lt;&gt;"")+--('WEEK 15'!A10&lt;&gt;"")+--('WEEK 15'!D10&lt;&gt;"")+--('WEEK 15'!H10&lt;&gt;"")+--(COUNTA('WEEK 15'!A12:D12)&gt;0)+--('WEEK 15'!E12&lt;&gt;"")+--('WEEK 15'!H12&lt;&gt;"")</f>
        <v>0</v>
      </c>
      <c r="M16" s="14">
        <f>--(LEN('WEEK 15'!B14)&gt;LEN(LISTS!$Q$2))+--(LEN('WEEK 15'!D14)&gt;LEN(LISTS!$Q$2))+--(LEN('WEEK 15'!F14)&gt;LEN(LISTS!$Q$2))+--(LEN('WEEK 15'!H14)&gt;LEN(LISTS!$Q$2))</f>
        <v>0</v>
      </c>
      <c r="N16" s="14">
        <f>--('WEEK 15'!B17&lt;&gt;"")+--('WEEK 15'!B18&lt;&gt;"")+--('WEEK 15'!B19&lt;&gt;"")+--('WEEK 15'!B20&lt;&gt;"")+--('WEEK 15'!B21&lt;&gt;"")+--(LEN('WEEK 15'!B22)&gt;LEN(LISTS!$P$2))+--('WEEK 15'!B23&lt;&gt;"")+--('WEEK 15'!B24&lt;&gt;"")+--('WEEK 15'!B25&lt;&gt;"")</f>
        <v>0</v>
      </c>
      <c r="O16" s="14">
        <f>--('WEEK 15'!G17&lt;&gt;"")+--('WEEK 15'!G18&lt;&gt;"")+--('WEEK 15'!G19&lt;&gt;"")+--('WEEK 15'!G20&lt;&gt;"")+--('WEEK 15'!G21&lt;&gt;"")+--(LEN('WEEK 15'!G22)&gt;LEN(LISTS!$P$2))+--('WEEK 15'!G23&lt;&gt;"")+--('WEEK 15'!G24&lt;&gt;"")+--('WEEK 15'!G25&lt;&gt;"")</f>
        <v>0</v>
      </c>
      <c r="P16" s="14">
        <f>--(LEN('WEEK 15'!B26)&gt;LEN(LISTS!$R$2))</f>
        <v>0</v>
      </c>
      <c r="Q16" s="14">
        <f t="shared" si="0"/>
        <v>0</v>
      </c>
      <c r="R16" s="16">
        <f t="shared" si="1"/>
        <v>0</v>
      </c>
      <c r="S16" s="14" t="str">
        <f t="shared" si="2"/>
        <v>لم يبدأ / Not Started</v>
      </c>
      <c r="T16" s="14" t="str">
        <f t="shared" si="3"/>
        <v>أكمل البيانات الأساسية / Complete core planning fields</v>
      </c>
    </row>
    <row r="17" spans="1:20">
      <c r="A17" s="14">
        <v>16</v>
      </c>
      <c r="B17" s="14" t="str">
        <f>IF('WEEK 16'!C2="","",'WEEK 16'!C2)</f>
        <v/>
      </c>
      <c r="C17" s="14" t="str">
        <f>IF('WEEK 16'!I2="","",'WEEK 16'!I2)</f>
        <v/>
      </c>
      <c r="D17" s="14" t="str">
        <f>IF('WEEK 16'!C3="","",'WEEK 16'!C3)</f>
        <v/>
      </c>
      <c r="E17" s="14" t="str">
        <f>IF('WEEK 16'!I3="","",'WEEK 16'!I3)</f>
        <v/>
      </c>
      <c r="F17" s="15" t="str">
        <f>IF('WEEK 16'!C5="","",'WEEK 16'!C5)</f>
        <v/>
      </c>
      <c r="G17" s="14" t="str">
        <f>IF('WEEK 16'!C6="","",'WEEK 16'!C6)</f>
        <v/>
      </c>
      <c r="H17" s="14" t="str">
        <f>IF('WEEK 16'!C8="","",'WEEK 16'!C8)</f>
        <v/>
      </c>
      <c r="I17" s="14" t="str">
        <f>IF('WEEK 16'!A10="","",'WEEK 16'!A10)</f>
        <v/>
      </c>
      <c r="J17" s="14" t="str">
        <f>IF('WEEK 16'!C7="","",'WEEK 16'!C7)</f>
        <v/>
      </c>
      <c r="K17" s="14" t="str">
        <f>IF('WEEK 16'!I7="","",'WEEK 16'!I7)</f>
        <v/>
      </c>
      <c r="L17" s="14">
        <f>--('WEEK 16'!C2&lt;&gt;"")+--('WEEK 16'!I2&lt;&gt;"")+--('WEEK 16'!C3&lt;&gt;"")+--('WEEK 16'!I3&lt;&gt;"")+--('WEEK 16'!C4&lt;&gt;"")+--('WEEK 16'!I4&lt;&gt;"")+--('WEEK 16'!C5&lt;&gt;"")+--('WEEK 16'!C6&lt;&gt;"")+--('WEEK 16'!C7&lt;&gt;"")+--('WEEK 16'!I7&lt;&gt;"")+--('WEEK 16'!C8&lt;&gt;"")+--('WEEK 16'!A10&lt;&gt;"")+--('WEEK 16'!D10&lt;&gt;"")+--('WEEK 16'!H10&lt;&gt;"")+--(COUNTA('WEEK 16'!A12:D12)&gt;0)+--('WEEK 16'!E12&lt;&gt;"")+--('WEEK 16'!H12&lt;&gt;"")</f>
        <v>0</v>
      </c>
      <c r="M17" s="14">
        <f>--(LEN('WEEK 16'!B14)&gt;LEN(LISTS!$Q$2))+--(LEN('WEEK 16'!D14)&gt;LEN(LISTS!$Q$2))+--(LEN('WEEK 16'!F14)&gt;LEN(LISTS!$Q$2))+--(LEN('WEEK 16'!H14)&gt;LEN(LISTS!$Q$2))</f>
        <v>0</v>
      </c>
      <c r="N17" s="14">
        <f>--('WEEK 16'!B17&lt;&gt;"")+--('WEEK 16'!B18&lt;&gt;"")+--('WEEK 16'!B19&lt;&gt;"")+--('WEEK 16'!B20&lt;&gt;"")+--('WEEK 16'!B21&lt;&gt;"")+--(LEN('WEEK 16'!B22)&gt;LEN(LISTS!$P$2))+--('WEEK 16'!B23&lt;&gt;"")+--('WEEK 16'!B24&lt;&gt;"")+--('WEEK 16'!B25&lt;&gt;"")</f>
        <v>0</v>
      </c>
      <c r="O17" s="14">
        <f>--('WEEK 16'!G17&lt;&gt;"")+--('WEEK 16'!G18&lt;&gt;"")+--('WEEK 16'!G19&lt;&gt;"")+--('WEEK 16'!G20&lt;&gt;"")+--('WEEK 16'!G21&lt;&gt;"")+--(LEN('WEEK 16'!G22)&gt;LEN(LISTS!$P$2))+--('WEEK 16'!G23&lt;&gt;"")+--('WEEK 16'!G24&lt;&gt;"")+--('WEEK 16'!G25&lt;&gt;"")</f>
        <v>0</v>
      </c>
      <c r="P17" s="14">
        <f>--(LEN('WEEK 16'!B26)&gt;LEN(LISTS!$R$2))</f>
        <v>0</v>
      </c>
      <c r="Q17" s="14">
        <f t="shared" si="0"/>
        <v>0</v>
      </c>
      <c r="R17" s="16">
        <f t="shared" si="1"/>
        <v>0</v>
      </c>
      <c r="S17" s="14" t="str">
        <f t="shared" si="2"/>
        <v>لم يبدأ / Not Started</v>
      </c>
      <c r="T17" s="14" t="str">
        <f t="shared" si="3"/>
        <v>أكمل البيانات الأساسية / Complete core planning fields</v>
      </c>
    </row>
    <row r="18" spans="1:20">
      <c r="A18" s="14">
        <v>17</v>
      </c>
      <c r="B18" s="14" t="str">
        <f>IF('WEEK 17'!C2="","",'WEEK 17'!C2)</f>
        <v/>
      </c>
      <c r="C18" s="14" t="str">
        <f>IF('WEEK 17'!I2="","",'WEEK 17'!I2)</f>
        <v/>
      </c>
      <c r="D18" s="14" t="str">
        <f>IF('WEEK 17'!C3="","",'WEEK 17'!C3)</f>
        <v/>
      </c>
      <c r="E18" s="14" t="str">
        <f>IF('WEEK 17'!I3="","",'WEEK 17'!I3)</f>
        <v/>
      </c>
      <c r="F18" s="15" t="str">
        <f>IF('WEEK 17'!C5="","",'WEEK 17'!C5)</f>
        <v/>
      </c>
      <c r="G18" s="14" t="str">
        <f>IF('WEEK 17'!C6="","",'WEEK 17'!C6)</f>
        <v/>
      </c>
      <c r="H18" s="14" t="str">
        <f>IF('WEEK 17'!C8="","",'WEEK 17'!C8)</f>
        <v/>
      </c>
      <c r="I18" s="14" t="str">
        <f>IF('WEEK 17'!A10="","",'WEEK 17'!A10)</f>
        <v/>
      </c>
      <c r="J18" s="14" t="str">
        <f>IF('WEEK 17'!C7="","",'WEEK 17'!C7)</f>
        <v/>
      </c>
      <c r="K18" s="14" t="str">
        <f>IF('WEEK 17'!I7="","",'WEEK 17'!I7)</f>
        <v/>
      </c>
      <c r="L18" s="14">
        <f>--('WEEK 17'!C2&lt;&gt;"")+--('WEEK 17'!I2&lt;&gt;"")+--('WEEK 17'!C3&lt;&gt;"")+--('WEEK 17'!I3&lt;&gt;"")+--('WEEK 17'!C4&lt;&gt;"")+--('WEEK 17'!I4&lt;&gt;"")+--('WEEK 17'!C5&lt;&gt;"")+--('WEEK 17'!C6&lt;&gt;"")+--('WEEK 17'!C7&lt;&gt;"")+--('WEEK 17'!I7&lt;&gt;"")+--('WEEK 17'!C8&lt;&gt;"")+--('WEEK 17'!A10&lt;&gt;"")+--('WEEK 17'!D10&lt;&gt;"")+--('WEEK 17'!H10&lt;&gt;"")+--(COUNTA('WEEK 17'!A12:D12)&gt;0)+--('WEEK 17'!E12&lt;&gt;"")+--('WEEK 17'!H12&lt;&gt;"")</f>
        <v>0</v>
      </c>
      <c r="M18" s="14">
        <f>--(LEN('WEEK 17'!B14)&gt;LEN(LISTS!$Q$2))+--(LEN('WEEK 17'!D14)&gt;LEN(LISTS!$Q$2))+--(LEN('WEEK 17'!F14)&gt;LEN(LISTS!$Q$2))+--(LEN('WEEK 17'!H14)&gt;LEN(LISTS!$Q$2))</f>
        <v>0</v>
      </c>
      <c r="N18" s="14">
        <f>--('WEEK 17'!B17&lt;&gt;"")+--('WEEK 17'!B18&lt;&gt;"")+--('WEEK 17'!B19&lt;&gt;"")+--('WEEK 17'!B20&lt;&gt;"")+--('WEEK 17'!B21&lt;&gt;"")+--(LEN('WEEK 17'!B22)&gt;LEN(LISTS!$P$2))+--('WEEK 17'!B23&lt;&gt;"")+--('WEEK 17'!B24&lt;&gt;"")+--('WEEK 17'!B25&lt;&gt;"")</f>
        <v>0</v>
      </c>
      <c r="O18" s="14">
        <f>--('WEEK 17'!G17&lt;&gt;"")+--('WEEK 17'!G18&lt;&gt;"")+--('WEEK 17'!G19&lt;&gt;"")+--('WEEK 17'!G20&lt;&gt;"")+--('WEEK 17'!G21&lt;&gt;"")+--(LEN('WEEK 17'!G22)&gt;LEN(LISTS!$P$2))+--('WEEK 17'!G23&lt;&gt;"")+--('WEEK 17'!G24&lt;&gt;"")+--('WEEK 17'!G25&lt;&gt;"")</f>
        <v>0</v>
      </c>
      <c r="P18" s="14">
        <f>--(LEN('WEEK 17'!B26)&gt;LEN(LISTS!$R$2))</f>
        <v>0</v>
      </c>
      <c r="Q18" s="14">
        <f t="shared" si="0"/>
        <v>0</v>
      </c>
      <c r="R18" s="16">
        <f t="shared" si="1"/>
        <v>0</v>
      </c>
      <c r="S18" s="14" t="str">
        <f t="shared" si="2"/>
        <v>لم يبدأ / Not Started</v>
      </c>
      <c r="T18" s="14" t="str">
        <f t="shared" si="3"/>
        <v>أكمل البيانات الأساسية / Complete core planning fields</v>
      </c>
    </row>
    <row r="19" spans="1:20">
      <c r="A19" s="14">
        <v>18</v>
      </c>
      <c r="B19" s="14" t="str">
        <f>IF('WEEK 18'!C2="","",'WEEK 18'!C2)</f>
        <v/>
      </c>
      <c r="C19" s="14" t="str">
        <f>IF('WEEK 18'!I2="","",'WEEK 18'!I2)</f>
        <v/>
      </c>
      <c r="D19" s="14" t="str">
        <f>IF('WEEK 18'!C3="","",'WEEK 18'!C3)</f>
        <v/>
      </c>
      <c r="E19" s="14" t="str">
        <f>IF('WEEK 18'!I3="","",'WEEK 18'!I3)</f>
        <v/>
      </c>
      <c r="F19" s="15" t="str">
        <f>IF('WEEK 18'!C5="","",'WEEK 18'!C5)</f>
        <v/>
      </c>
      <c r="G19" s="14" t="str">
        <f>IF('WEEK 18'!C6="","",'WEEK 18'!C6)</f>
        <v/>
      </c>
      <c r="H19" s="14" t="str">
        <f>IF('WEEK 18'!C8="","",'WEEK 18'!C8)</f>
        <v/>
      </c>
      <c r="I19" s="14" t="str">
        <f>IF('WEEK 18'!A10="","",'WEEK 18'!A10)</f>
        <v/>
      </c>
      <c r="J19" s="14" t="str">
        <f>IF('WEEK 18'!C7="","",'WEEK 18'!C7)</f>
        <v/>
      </c>
      <c r="K19" s="14" t="str">
        <f>IF('WEEK 18'!I7="","",'WEEK 18'!I7)</f>
        <v/>
      </c>
      <c r="L19" s="14">
        <f>--('WEEK 18'!C2&lt;&gt;"")+--('WEEK 18'!I2&lt;&gt;"")+--('WEEK 18'!C3&lt;&gt;"")+--('WEEK 18'!I3&lt;&gt;"")+--('WEEK 18'!C4&lt;&gt;"")+--('WEEK 18'!I4&lt;&gt;"")+--('WEEK 18'!C5&lt;&gt;"")+--('WEEK 18'!C6&lt;&gt;"")+--('WEEK 18'!C7&lt;&gt;"")+--('WEEK 18'!I7&lt;&gt;"")+--('WEEK 18'!C8&lt;&gt;"")+--('WEEK 18'!A10&lt;&gt;"")+--('WEEK 18'!D10&lt;&gt;"")+--('WEEK 18'!H10&lt;&gt;"")+--(COUNTA('WEEK 18'!A12:D12)&gt;0)+--('WEEK 18'!E12&lt;&gt;"")+--('WEEK 18'!H12&lt;&gt;"")</f>
        <v>0</v>
      </c>
      <c r="M19" s="14">
        <f>--(LEN('WEEK 18'!B14)&gt;LEN(LISTS!$Q$2))+--(LEN('WEEK 18'!D14)&gt;LEN(LISTS!$Q$2))+--(LEN('WEEK 18'!F14)&gt;LEN(LISTS!$Q$2))+--(LEN('WEEK 18'!H14)&gt;LEN(LISTS!$Q$2))</f>
        <v>0</v>
      </c>
      <c r="N19" s="14">
        <f>--('WEEK 18'!B17&lt;&gt;"")+--('WEEK 18'!B18&lt;&gt;"")+--('WEEK 18'!B19&lt;&gt;"")+--('WEEK 18'!B20&lt;&gt;"")+--('WEEK 18'!B21&lt;&gt;"")+--(LEN('WEEK 18'!B22)&gt;LEN(LISTS!$P$2))+--('WEEK 18'!B23&lt;&gt;"")+--('WEEK 18'!B24&lt;&gt;"")+--('WEEK 18'!B25&lt;&gt;"")</f>
        <v>0</v>
      </c>
      <c r="O19" s="14">
        <f>--('WEEK 18'!G17&lt;&gt;"")+--('WEEK 18'!G18&lt;&gt;"")+--('WEEK 18'!G19&lt;&gt;"")+--('WEEK 18'!G20&lt;&gt;"")+--('WEEK 18'!G21&lt;&gt;"")+--(LEN('WEEK 18'!G22)&gt;LEN(LISTS!$P$2))+--('WEEK 18'!G23&lt;&gt;"")+--('WEEK 18'!G24&lt;&gt;"")+--('WEEK 18'!G25&lt;&gt;"")</f>
        <v>0</v>
      </c>
      <c r="P19" s="14">
        <f>--(LEN('WEEK 18'!B26)&gt;LEN(LISTS!$R$2))</f>
        <v>0</v>
      </c>
      <c r="Q19" s="14">
        <f t="shared" si="0"/>
        <v>0</v>
      </c>
      <c r="R19" s="16">
        <f t="shared" si="1"/>
        <v>0</v>
      </c>
      <c r="S19" s="14" t="str">
        <f t="shared" si="2"/>
        <v>لم يبدأ / Not Started</v>
      </c>
      <c r="T19" s="14" t="str">
        <f t="shared" si="3"/>
        <v>أكمل البيانات الأساسية / Complete core planning fields</v>
      </c>
    </row>
    <row r="20" spans="1:20">
      <c r="A20" s="14">
        <v>19</v>
      </c>
      <c r="B20" s="14" t="str">
        <f>IF('WEEK 19'!C2="","",'WEEK 19'!C2)</f>
        <v/>
      </c>
      <c r="C20" s="14" t="str">
        <f>IF('WEEK 19'!I2="","",'WEEK 19'!I2)</f>
        <v/>
      </c>
      <c r="D20" s="14" t="str">
        <f>IF('WEEK 19'!C3="","",'WEEK 19'!C3)</f>
        <v/>
      </c>
      <c r="E20" s="14" t="str">
        <f>IF('WEEK 19'!I3="","",'WEEK 19'!I3)</f>
        <v/>
      </c>
      <c r="F20" s="15" t="str">
        <f>IF('WEEK 19'!C5="","",'WEEK 19'!C5)</f>
        <v/>
      </c>
      <c r="G20" s="14" t="str">
        <f>IF('WEEK 19'!C6="","",'WEEK 19'!C6)</f>
        <v/>
      </c>
      <c r="H20" s="14" t="str">
        <f>IF('WEEK 19'!C8="","",'WEEK 19'!C8)</f>
        <v/>
      </c>
      <c r="I20" s="14" t="str">
        <f>IF('WEEK 19'!A10="","",'WEEK 19'!A10)</f>
        <v/>
      </c>
      <c r="J20" s="14" t="str">
        <f>IF('WEEK 19'!C7="","",'WEEK 19'!C7)</f>
        <v/>
      </c>
      <c r="K20" s="14" t="str">
        <f>IF('WEEK 19'!I7="","",'WEEK 19'!I7)</f>
        <v/>
      </c>
      <c r="L20" s="14">
        <f>--('WEEK 19'!C2&lt;&gt;"")+--('WEEK 19'!I2&lt;&gt;"")+--('WEEK 19'!C3&lt;&gt;"")+--('WEEK 19'!I3&lt;&gt;"")+--('WEEK 19'!C4&lt;&gt;"")+--('WEEK 19'!I4&lt;&gt;"")+--('WEEK 19'!C5&lt;&gt;"")+--('WEEK 19'!C6&lt;&gt;"")+--('WEEK 19'!C7&lt;&gt;"")+--('WEEK 19'!I7&lt;&gt;"")+--('WEEK 19'!C8&lt;&gt;"")+--('WEEK 19'!A10&lt;&gt;"")+--('WEEK 19'!D10&lt;&gt;"")+--('WEEK 19'!H10&lt;&gt;"")+--(COUNTA('WEEK 19'!A12:D12)&gt;0)+--('WEEK 19'!E12&lt;&gt;"")+--('WEEK 19'!H12&lt;&gt;"")</f>
        <v>0</v>
      </c>
      <c r="M20" s="14">
        <f>--(LEN('WEEK 19'!B14)&gt;LEN(LISTS!$Q$2))+--(LEN('WEEK 19'!D14)&gt;LEN(LISTS!$Q$2))+--(LEN('WEEK 19'!F14)&gt;LEN(LISTS!$Q$2))+--(LEN('WEEK 19'!H14)&gt;LEN(LISTS!$Q$2))</f>
        <v>0</v>
      </c>
      <c r="N20" s="14">
        <f>--('WEEK 19'!B17&lt;&gt;"")+--('WEEK 19'!B18&lt;&gt;"")+--('WEEK 19'!B19&lt;&gt;"")+--('WEEK 19'!B20&lt;&gt;"")+--('WEEK 19'!B21&lt;&gt;"")+--(LEN('WEEK 19'!B22)&gt;LEN(LISTS!$P$2))+--('WEEK 19'!B23&lt;&gt;"")+--('WEEK 19'!B24&lt;&gt;"")+--('WEEK 19'!B25&lt;&gt;"")</f>
        <v>0</v>
      </c>
      <c r="O20" s="14">
        <f>--('WEEK 19'!G17&lt;&gt;"")+--('WEEK 19'!G18&lt;&gt;"")+--('WEEK 19'!G19&lt;&gt;"")+--('WEEK 19'!G20&lt;&gt;"")+--('WEEK 19'!G21&lt;&gt;"")+--(LEN('WEEK 19'!G22)&gt;LEN(LISTS!$P$2))+--('WEEK 19'!G23&lt;&gt;"")+--('WEEK 19'!G24&lt;&gt;"")+--('WEEK 19'!G25&lt;&gt;"")</f>
        <v>0</v>
      </c>
      <c r="P20" s="14">
        <f>--(LEN('WEEK 19'!B26)&gt;LEN(LISTS!$R$2))</f>
        <v>0</v>
      </c>
      <c r="Q20" s="14">
        <f t="shared" si="0"/>
        <v>0</v>
      </c>
      <c r="R20" s="16">
        <f t="shared" si="1"/>
        <v>0</v>
      </c>
      <c r="S20" s="14" t="str">
        <f t="shared" si="2"/>
        <v>لم يبدأ / Not Started</v>
      </c>
      <c r="T20" s="14" t="str">
        <f t="shared" si="3"/>
        <v>أكمل البيانات الأساسية / Complete core planning fields</v>
      </c>
    </row>
    <row r="21" spans="1:20">
      <c r="A21" s="14">
        <v>20</v>
      </c>
      <c r="B21" s="14" t="str">
        <f>IF('WEEK 20'!C2="","",'WEEK 20'!C2)</f>
        <v/>
      </c>
      <c r="C21" s="14" t="str">
        <f>IF('WEEK 20'!I2="","",'WEEK 20'!I2)</f>
        <v/>
      </c>
      <c r="D21" s="14" t="str">
        <f>IF('WEEK 20'!C3="","",'WEEK 20'!C3)</f>
        <v/>
      </c>
      <c r="E21" s="14" t="str">
        <f>IF('WEEK 20'!I3="","",'WEEK 20'!I3)</f>
        <v/>
      </c>
      <c r="F21" s="15" t="str">
        <f>IF('WEEK 20'!C5="","",'WEEK 20'!C5)</f>
        <v/>
      </c>
      <c r="G21" s="14" t="str">
        <f>IF('WEEK 20'!C6="","",'WEEK 20'!C6)</f>
        <v/>
      </c>
      <c r="H21" s="14" t="str">
        <f>IF('WEEK 20'!C8="","",'WEEK 20'!C8)</f>
        <v/>
      </c>
      <c r="I21" s="14" t="str">
        <f>IF('WEEK 20'!A10="","",'WEEK 20'!A10)</f>
        <v/>
      </c>
      <c r="J21" s="14" t="str">
        <f>IF('WEEK 20'!C7="","",'WEEK 20'!C7)</f>
        <v/>
      </c>
      <c r="K21" s="14" t="str">
        <f>IF('WEEK 20'!I7="","",'WEEK 20'!I7)</f>
        <v/>
      </c>
      <c r="L21" s="14">
        <f>--('WEEK 20'!C2&lt;&gt;"")+--('WEEK 20'!I2&lt;&gt;"")+--('WEEK 20'!C3&lt;&gt;"")+--('WEEK 20'!I3&lt;&gt;"")+--('WEEK 20'!C4&lt;&gt;"")+--('WEEK 20'!I4&lt;&gt;"")+--('WEEK 20'!C5&lt;&gt;"")+--('WEEK 20'!C6&lt;&gt;"")+--('WEEK 20'!C7&lt;&gt;"")+--('WEEK 20'!I7&lt;&gt;"")+--('WEEK 20'!C8&lt;&gt;"")+--('WEEK 20'!A10&lt;&gt;"")+--('WEEK 20'!D10&lt;&gt;"")+--('WEEK 20'!H10&lt;&gt;"")+--(COUNTA('WEEK 20'!A12:D12)&gt;0)+--('WEEK 20'!E12&lt;&gt;"")+--('WEEK 20'!H12&lt;&gt;"")</f>
        <v>0</v>
      </c>
      <c r="M21" s="14">
        <f>--(LEN('WEEK 20'!B14)&gt;LEN(LISTS!$Q$2))+--(LEN('WEEK 20'!D14)&gt;LEN(LISTS!$Q$2))+--(LEN('WEEK 20'!F14)&gt;LEN(LISTS!$Q$2))+--(LEN('WEEK 20'!H14)&gt;LEN(LISTS!$Q$2))</f>
        <v>0</v>
      </c>
      <c r="N21" s="14">
        <f>--('WEEK 20'!B17&lt;&gt;"")+--('WEEK 20'!B18&lt;&gt;"")+--('WEEK 20'!B19&lt;&gt;"")+--('WEEK 20'!B20&lt;&gt;"")+--('WEEK 20'!B21&lt;&gt;"")+--(LEN('WEEK 20'!B22)&gt;LEN(LISTS!$P$2))+--('WEEK 20'!B23&lt;&gt;"")+--('WEEK 20'!B24&lt;&gt;"")+--('WEEK 20'!B25&lt;&gt;"")</f>
        <v>0</v>
      </c>
      <c r="O21" s="14">
        <f>--('WEEK 20'!G17&lt;&gt;"")+--('WEEK 20'!G18&lt;&gt;"")+--('WEEK 20'!G19&lt;&gt;"")+--('WEEK 20'!G20&lt;&gt;"")+--('WEEK 20'!G21&lt;&gt;"")+--(LEN('WEEK 20'!G22)&gt;LEN(LISTS!$P$2))+--('WEEK 20'!G23&lt;&gt;"")+--('WEEK 20'!G24&lt;&gt;"")+--('WEEK 20'!G25&lt;&gt;"")</f>
        <v>0</v>
      </c>
      <c r="P21" s="14">
        <f>--(LEN('WEEK 20'!B26)&gt;LEN(LISTS!$R$2))</f>
        <v>0</v>
      </c>
      <c r="Q21" s="14">
        <f t="shared" si="0"/>
        <v>0</v>
      </c>
      <c r="R21" s="16">
        <f t="shared" si="1"/>
        <v>0</v>
      </c>
      <c r="S21" s="14" t="str">
        <f t="shared" si="2"/>
        <v>لم يبدأ / Not Started</v>
      </c>
      <c r="T21" s="14" t="str">
        <f t="shared" si="3"/>
        <v>أكمل البيانات الأساسية / Complete core planning fields</v>
      </c>
    </row>
    <row r="22" spans="1:20">
      <c r="A22" s="14">
        <v>21</v>
      </c>
      <c r="B22" s="14" t="str">
        <f>IF('WEEK 21'!C2="","",'WEEK 21'!C2)</f>
        <v/>
      </c>
      <c r="C22" s="14" t="str">
        <f>IF('WEEK 21'!I2="","",'WEEK 21'!I2)</f>
        <v/>
      </c>
      <c r="D22" s="14" t="str">
        <f>IF('WEEK 21'!C3="","",'WEEK 21'!C3)</f>
        <v/>
      </c>
      <c r="E22" s="14" t="str">
        <f>IF('WEEK 21'!I3="","",'WEEK 21'!I3)</f>
        <v/>
      </c>
      <c r="F22" s="15" t="str">
        <f>IF('WEEK 21'!C5="","",'WEEK 21'!C5)</f>
        <v/>
      </c>
      <c r="G22" s="14" t="str">
        <f>IF('WEEK 21'!C6="","",'WEEK 21'!C6)</f>
        <v/>
      </c>
      <c r="H22" s="14" t="str">
        <f>IF('WEEK 21'!C8="","",'WEEK 21'!C8)</f>
        <v/>
      </c>
      <c r="I22" s="14" t="str">
        <f>IF('WEEK 21'!A10="","",'WEEK 21'!A10)</f>
        <v/>
      </c>
      <c r="J22" s="14" t="str">
        <f>IF('WEEK 21'!C7="","",'WEEK 21'!C7)</f>
        <v/>
      </c>
      <c r="K22" s="14" t="str">
        <f>IF('WEEK 21'!I7="","",'WEEK 21'!I7)</f>
        <v/>
      </c>
      <c r="L22" s="14">
        <f>--('WEEK 21'!C2&lt;&gt;"")+--('WEEK 21'!I2&lt;&gt;"")+--('WEEK 21'!C3&lt;&gt;"")+--('WEEK 21'!I3&lt;&gt;"")+--('WEEK 21'!C4&lt;&gt;"")+--('WEEK 21'!I4&lt;&gt;"")+--('WEEK 21'!C5&lt;&gt;"")+--('WEEK 21'!C6&lt;&gt;"")+--('WEEK 21'!C7&lt;&gt;"")+--('WEEK 21'!I7&lt;&gt;"")+--('WEEK 21'!C8&lt;&gt;"")+--('WEEK 21'!A10&lt;&gt;"")+--('WEEK 21'!D10&lt;&gt;"")+--('WEEK 21'!H10&lt;&gt;"")+--(COUNTA('WEEK 21'!A12:D12)&gt;0)+--('WEEK 21'!E12&lt;&gt;"")+--('WEEK 21'!H12&lt;&gt;"")</f>
        <v>0</v>
      </c>
      <c r="M22" s="14">
        <f>--(LEN('WEEK 21'!B14)&gt;LEN(LISTS!$Q$2))+--(LEN('WEEK 21'!D14)&gt;LEN(LISTS!$Q$2))+--(LEN('WEEK 21'!F14)&gt;LEN(LISTS!$Q$2))+--(LEN('WEEK 21'!H14)&gt;LEN(LISTS!$Q$2))</f>
        <v>0</v>
      </c>
      <c r="N22" s="14">
        <f>--('WEEK 21'!B17&lt;&gt;"")+--('WEEK 21'!B18&lt;&gt;"")+--('WEEK 21'!B19&lt;&gt;"")+--('WEEK 21'!B20&lt;&gt;"")+--('WEEK 21'!B21&lt;&gt;"")+--(LEN('WEEK 21'!B22)&gt;LEN(LISTS!$P$2))+--('WEEK 21'!B23&lt;&gt;"")+--('WEEK 21'!B24&lt;&gt;"")+--('WEEK 21'!B25&lt;&gt;"")</f>
        <v>0</v>
      </c>
      <c r="O22" s="14">
        <f>--('WEEK 21'!G17&lt;&gt;"")+--('WEEK 21'!G18&lt;&gt;"")+--('WEEK 21'!G19&lt;&gt;"")+--('WEEK 21'!G20&lt;&gt;"")+--('WEEK 21'!G21&lt;&gt;"")+--(LEN('WEEK 21'!G22)&gt;LEN(LISTS!$P$2))+--('WEEK 21'!G23&lt;&gt;"")+--('WEEK 21'!G24&lt;&gt;"")+--('WEEK 21'!G25&lt;&gt;"")</f>
        <v>0</v>
      </c>
      <c r="P22" s="14">
        <f>--(LEN('WEEK 21'!B26)&gt;LEN(LISTS!$R$2))</f>
        <v>0</v>
      </c>
      <c r="Q22" s="14">
        <f t="shared" si="0"/>
        <v>0</v>
      </c>
      <c r="R22" s="16">
        <f t="shared" si="1"/>
        <v>0</v>
      </c>
      <c r="S22" s="14" t="str">
        <f t="shared" si="2"/>
        <v>لم يبدأ / Not Started</v>
      </c>
      <c r="T22" s="14" t="str">
        <f t="shared" si="3"/>
        <v>أكمل البيانات الأساسية / Complete core planning fields</v>
      </c>
    </row>
    <row r="23" spans="1:20">
      <c r="A23" s="14">
        <v>22</v>
      </c>
      <c r="B23" s="14" t="str">
        <f>IF('WEEK 22'!C2="","",'WEEK 22'!C2)</f>
        <v/>
      </c>
      <c r="C23" s="14" t="str">
        <f>IF('WEEK 22'!I2="","",'WEEK 22'!I2)</f>
        <v/>
      </c>
      <c r="D23" s="14" t="str">
        <f>IF('WEEK 22'!C3="","",'WEEK 22'!C3)</f>
        <v/>
      </c>
      <c r="E23" s="14" t="str">
        <f>IF('WEEK 22'!I3="","",'WEEK 22'!I3)</f>
        <v/>
      </c>
      <c r="F23" s="15" t="str">
        <f>IF('WEEK 22'!C5="","",'WEEK 22'!C5)</f>
        <v/>
      </c>
      <c r="G23" s="14" t="str">
        <f>IF('WEEK 22'!C6="","",'WEEK 22'!C6)</f>
        <v/>
      </c>
      <c r="H23" s="14" t="str">
        <f>IF('WEEK 22'!C8="","",'WEEK 22'!C8)</f>
        <v/>
      </c>
      <c r="I23" s="14" t="str">
        <f>IF('WEEK 22'!A10="","",'WEEK 22'!A10)</f>
        <v/>
      </c>
      <c r="J23" s="14" t="str">
        <f>IF('WEEK 22'!C7="","",'WEEK 22'!C7)</f>
        <v/>
      </c>
      <c r="K23" s="14" t="str">
        <f>IF('WEEK 22'!I7="","",'WEEK 22'!I7)</f>
        <v/>
      </c>
      <c r="L23" s="14">
        <f>--('WEEK 22'!C2&lt;&gt;"")+--('WEEK 22'!I2&lt;&gt;"")+--('WEEK 22'!C3&lt;&gt;"")+--('WEEK 22'!I3&lt;&gt;"")+--('WEEK 22'!C4&lt;&gt;"")+--('WEEK 22'!I4&lt;&gt;"")+--('WEEK 22'!C5&lt;&gt;"")+--('WEEK 22'!C6&lt;&gt;"")+--('WEEK 22'!C7&lt;&gt;"")+--('WEEK 22'!I7&lt;&gt;"")+--('WEEK 22'!C8&lt;&gt;"")+--('WEEK 22'!A10&lt;&gt;"")+--('WEEK 22'!D10&lt;&gt;"")+--('WEEK 22'!H10&lt;&gt;"")+--(COUNTA('WEEK 22'!A12:D12)&gt;0)+--('WEEK 22'!E12&lt;&gt;"")+--('WEEK 22'!H12&lt;&gt;"")</f>
        <v>0</v>
      </c>
      <c r="M23" s="14">
        <f>--(LEN('WEEK 22'!B14)&gt;LEN(LISTS!$Q$2))+--(LEN('WEEK 22'!D14)&gt;LEN(LISTS!$Q$2))+--(LEN('WEEK 22'!F14)&gt;LEN(LISTS!$Q$2))+--(LEN('WEEK 22'!H14)&gt;LEN(LISTS!$Q$2))</f>
        <v>0</v>
      </c>
      <c r="N23" s="14">
        <f>--('WEEK 22'!B17&lt;&gt;"")+--('WEEK 22'!B18&lt;&gt;"")+--('WEEK 22'!B19&lt;&gt;"")+--('WEEK 22'!B20&lt;&gt;"")+--('WEEK 22'!B21&lt;&gt;"")+--(LEN('WEEK 22'!B22)&gt;LEN(LISTS!$P$2))+--('WEEK 22'!B23&lt;&gt;"")+--('WEEK 22'!B24&lt;&gt;"")+--('WEEK 22'!B25&lt;&gt;"")</f>
        <v>0</v>
      </c>
      <c r="O23" s="14">
        <f>--('WEEK 22'!G17&lt;&gt;"")+--('WEEK 22'!G18&lt;&gt;"")+--('WEEK 22'!G19&lt;&gt;"")+--('WEEK 22'!G20&lt;&gt;"")+--('WEEK 22'!G21&lt;&gt;"")+--(LEN('WEEK 22'!G22)&gt;LEN(LISTS!$P$2))+--('WEEK 22'!G23&lt;&gt;"")+--('WEEK 22'!G24&lt;&gt;"")+--('WEEK 22'!G25&lt;&gt;"")</f>
        <v>0</v>
      </c>
      <c r="P23" s="14">
        <f>--(LEN('WEEK 22'!B26)&gt;LEN(LISTS!$R$2))</f>
        <v>0</v>
      </c>
      <c r="Q23" s="14">
        <f t="shared" si="0"/>
        <v>0</v>
      </c>
      <c r="R23" s="16">
        <f t="shared" si="1"/>
        <v>0</v>
      </c>
      <c r="S23" s="14" t="str">
        <f t="shared" si="2"/>
        <v>لم يبدأ / Not Started</v>
      </c>
      <c r="T23" s="14" t="str">
        <f t="shared" si="3"/>
        <v>أكمل البيانات الأساسية / Complete core planning fields</v>
      </c>
    </row>
    <row r="24" spans="1:20">
      <c r="A24" s="14">
        <v>23</v>
      </c>
      <c r="B24" s="14" t="str">
        <f>IF('WEEK 23'!C2="","",'WEEK 23'!C2)</f>
        <v/>
      </c>
      <c r="C24" s="14" t="str">
        <f>IF('WEEK 23'!I2="","",'WEEK 23'!I2)</f>
        <v/>
      </c>
      <c r="D24" s="14" t="str">
        <f>IF('WEEK 23'!C3="","",'WEEK 23'!C3)</f>
        <v/>
      </c>
      <c r="E24" s="14" t="str">
        <f>IF('WEEK 23'!I3="","",'WEEK 23'!I3)</f>
        <v/>
      </c>
      <c r="F24" s="15" t="str">
        <f>IF('WEEK 23'!C5="","",'WEEK 23'!C5)</f>
        <v/>
      </c>
      <c r="G24" s="14" t="str">
        <f>IF('WEEK 23'!C6="","",'WEEK 23'!C6)</f>
        <v/>
      </c>
      <c r="H24" s="14" t="str">
        <f>IF('WEEK 23'!C8="","",'WEEK 23'!C8)</f>
        <v/>
      </c>
      <c r="I24" s="14" t="str">
        <f>IF('WEEK 23'!A10="","",'WEEK 23'!A10)</f>
        <v/>
      </c>
      <c r="J24" s="14" t="str">
        <f>IF('WEEK 23'!C7="","",'WEEK 23'!C7)</f>
        <v/>
      </c>
      <c r="K24" s="14" t="str">
        <f>IF('WEEK 23'!I7="","",'WEEK 23'!I7)</f>
        <v/>
      </c>
      <c r="L24" s="14">
        <f>--('WEEK 23'!C2&lt;&gt;"")+--('WEEK 23'!I2&lt;&gt;"")+--('WEEK 23'!C3&lt;&gt;"")+--('WEEK 23'!I3&lt;&gt;"")+--('WEEK 23'!C4&lt;&gt;"")+--('WEEK 23'!I4&lt;&gt;"")+--('WEEK 23'!C5&lt;&gt;"")+--('WEEK 23'!C6&lt;&gt;"")+--('WEEK 23'!C7&lt;&gt;"")+--('WEEK 23'!I7&lt;&gt;"")+--('WEEK 23'!C8&lt;&gt;"")+--('WEEK 23'!A10&lt;&gt;"")+--('WEEK 23'!D10&lt;&gt;"")+--('WEEK 23'!H10&lt;&gt;"")+--(COUNTA('WEEK 23'!A12:D12)&gt;0)+--('WEEK 23'!E12&lt;&gt;"")+--('WEEK 23'!H12&lt;&gt;"")</f>
        <v>0</v>
      </c>
      <c r="M24" s="14">
        <f>--(LEN('WEEK 23'!B14)&gt;LEN(LISTS!$Q$2))+--(LEN('WEEK 23'!D14)&gt;LEN(LISTS!$Q$2))+--(LEN('WEEK 23'!F14)&gt;LEN(LISTS!$Q$2))+--(LEN('WEEK 23'!H14)&gt;LEN(LISTS!$Q$2))</f>
        <v>0</v>
      </c>
      <c r="N24" s="14">
        <f>--('WEEK 23'!B17&lt;&gt;"")+--('WEEK 23'!B18&lt;&gt;"")+--('WEEK 23'!B19&lt;&gt;"")+--('WEEK 23'!B20&lt;&gt;"")+--('WEEK 23'!B21&lt;&gt;"")+--(LEN('WEEK 23'!B22)&gt;LEN(LISTS!$P$2))+--('WEEK 23'!B23&lt;&gt;"")+--('WEEK 23'!B24&lt;&gt;"")+--('WEEK 23'!B25&lt;&gt;"")</f>
        <v>0</v>
      </c>
      <c r="O24" s="14">
        <f>--('WEEK 23'!G17&lt;&gt;"")+--('WEEK 23'!G18&lt;&gt;"")+--('WEEK 23'!G19&lt;&gt;"")+--('WEEK 23'!G20&lt;&gt;"")+--('WEEK 23'!G21&lt;&gt;"")+--(LEN('WEEK 23'!G22)&gt;LEN(LISTS!$P$2))+--('WEEK 23'!G23&lt;&gt;"")+--('WEEK 23'!G24&lt;&gt;"")+--('WEEK 23'!G25&lt;&gt;"")</f>
        <v>0</v>
      </c>
      <c r="P24" s="14">
        <f>--(LEN('WEEK 23'!B26)&gt;LEN(LISTS!$R$2))</f>
        <v>0</v>
      </c>
      <c r="Q24" s="14">
        <f t="shared" si="0"/>
        <v>0</v>
      </c>
      <c r="R24" s="16">
        <f t="shared" si="1"/>
        <v>0</v>
      </c>
      <c r="S24" s="14" t="str">
        <f t="shared" si="2"/>
        <v>لم يبدأ / Not Started</v>
      </c>
      <c r="T24" s="14" t="str">
        <f t="shared" si="3"/>
        <v>أكمل البيانات الأساسية / Complete core planning fields</v>
      </c>
    </row>
    <row r="25" spans="1:20">
      <c r="A25" s="14">
        <v>24</v>
      </c>
      <c r="B25" s="14" t="str">
        <f>IF('WEEK 24'!C2="","",'WEEK 24'!C2)</f>
        <v/>
      </c>
      <c r="C25" s="14" t="str">
        <f>IF('WEEK 24'!I2="","",'WEEK 24'!I2)</f>
        <v/>
      </c>
      <c r="D25" s="14" t="str">
        <f>IF('WEEK 24'!C3="","",'WEEK 24'!C3)</f>
        <v/>
      </c>
      <c r="E25" s="14" t="str">
        <f>IF('WEEK 24'!I3="","",'WEEK 24'!I3)</f>
        <v/>
      </c>
      <c r="F25" s="15" t="str">
        <f>IF('WEEK 24'!C5="","",'WEEK 24'!C5)</f>
        <v/>
      </c>
      <c r="G25" s="14" t="str">
        <f>IF('WEEK 24'!C6="","",'WEEK 24'!C6)</f>
        <v/>
      </c>
      <c r="H25" s="14" t="str">
        <f>IF('WEEK 24'!C8="","",'WEEK 24'!C8)</f>
        <v/>
      </c>
      <c r="I25" s="14" t="str">
        <f>IF('WEEK 24'!A10="","",'WEEK 24'!A10)</f>
        <v/>
      </c>
      <c r="J25" s="14" t="str">
        <f>IF('WEEK 24'!C7="","",'WEEK 24'!C7)</f>
        <v/>
      </c>
      <c r="K25" s="14" t="str">
        <f>IF('WEEK 24'!I7="","",'WEEK 24'!I7)</f>
        <v/>
      </c>
      <c r="L25" s="14">
        <f>--('WEEK 24'!C2&lt;&gt;"")+--('WEEK 24'!I2&lt;&gt;"")+--('WEEK 24'!C3&lt;&gt;"")+--('WEEK 24'!I3&lt;&gt;"")+--('WEEK 24'!C4&lt;&gt;"")+--('WEEK 24'!I4&lt;&gt;"")+--('WEEK 24'!C5&lt;&gt;"")+--('WEEK 24'!C6&lt;&gt;"")+--('WEEK 24'!C7&lt;&gt;"")+--('WEEK 24'!I7&lt;&gt;"")+--('WEEK 24'!C8&lt;&gt;"")+--('WEEK 24'!A10&lt;&gt;"")+--('WEEK 24'!D10&lt;&gt;"")+--('WEEK 24'!H10&lt;&gt;"")+--(COUNTA('WEEK 24'!A12:D12)&gt;0)+--('WEEK 24'!E12&lt;&gt;"")+--('WEEK 24'!H12&lt;&gt;"")</f>
        <v>0</v>
      </c>
      <c r="M25" s="14">
        <f>--(LEN('WEEK 24'!B14)&gt;LEN(LISTS!$Q$2))+--(LEN('WEEK 24'!D14)&gt;LEN(LISTS!$Q$2))+--(LEN('WEEK 24'!F14)&gt;LEN(LISTS!$Q$2))+--(LEN('WEEK 24'!H14)&gt;LEN(LISTS!$Q$2))</f>
        <v>0</v>
      </c>
      <c r="N25" s="14">
        <f>--('WEEK 24'!B17&lt;&gt;"")+--('WEEK 24'!B18&lt;&gt;"")+--('WEEK 24'!B19&lt;&gt;"")+--('WEEK 24'!B20&lt;&gt;"")+--('WEEK 24'!B21&lt;&gt;"")+--(LEN('WEEK 24'!B22)&gt;LEN(LISTS!$P$2))+--('WEEK 24'!B23&lt;&gt;"")+--('WEEK 24'!B24&lt;&gt;"")+--('WEEK 24'!B25&lt;&gt;"")</f>
        <v>0</v>
      </c>
      <c r="O25" s="14">
        <f>--('WEEK 24'!G17&lt;&gt;"")+--('WEEK 24'!G18&lt;&gt;"")+--('WEEK 24'!G19&lt;&gt;"")+--('WEEK 24'!G20&lt;&gt;"")+--('WEEK 24'!G21&lt;&gt;"")+--(LEN('WEEK 24'!G22)&gt;LEN(LISTS!$P$2))+--('WEEK 24'!G23&lt;&gt;"")+--('WEEK 24'!G24&lt;&gt;"")+--('WEEK 24'!G25&lt;&gt;"")</f>
        <v>0</v>
      </c>
      <c r="P25" s="14">
        <f>--(LEN('WEEK 24'!B26)&gt;LEN(LISTS!$R$2))</f>
        <v>0</v>
      </c>
      <c r="Q25" s="14">
        <f t="shared" si="0"/>
        <v>0</v>
      </c>
      <c r="R25" s="16">
        <f t="shared" si="1"/>
        <v>0</v>
      </c>
      <c r="S25" s="14" t="str">
        <f t="shared" si="2"/>
        <v>لم يبدأ / Not Started</v>
      </c>
      <c r="T25" s="14" t="str">
        <f t="shared" si="3"/>
        <v>أكمل البيانات الأساسية / Complete core planning fields</v>
      </c>
    </row>
    <row r="26" spans="1:20">
      <c r="A26" s="14">
        <v>25</v>
      </c>
      <c r="B26" s="14" t="str">
        <f>IF('WEEK 25'!C2="","",'WEEK 25'!C2)</f>
        <v/>
      </c>
      <c r="C26" s="14" t="str">
        <f>IF('WEEK 25'!I2="","",'WEEK 25'!I2)</f>
        <v/>
      </c>
      <c r="D26" s="14" t="str">
        <f>IF('WEEK 25'!C3="","",'WEEK 25'!C3)</f>
        <v/>
      </c>
      <c r="E26" s="14" t="str">
        <f>IF('WEEK 25'!I3="","",'WEEK 25'!I3)</f>
        <v/>
      </c>
      <c r="F26" s="15" t="str">
        <f>IF('WEEK 25'!C5="","",'WEEK 25'!C5)</f>
        <v/>
      </c>
      <c r="G26" s="14" t="str">
        <f>IF('WEEK 25'!C6="","",'WEEK 25'!C6)</f>
        <v/>
      </c>
      <c r="H26" s="14" t="str">
        <f>IF('WEEK 25'!C8="","",'WEEK 25'!C8)</f>
        <v/>
      </c>
      <c r="I26" s="14" t="str">
        <f>IF('WEEK 25'!A10="","",'WEEK 25'!A10)</f>
        <v/>
      </c>
      <c r="J26" s="14" t="str">
        <f>IF('WEEK 25'!C7="","",'WEEK 25'!C7)</f>
        <v/>
      </c>
      <c r="K26" s="14" t="str">
        <f>IF('WEEK 25'!I7="","",'WEEK 25'!I7)</f>
        <v/>
      </c>
      <c r="L26" s="14">
        <f>--('WEEK 25'!C2&lt;&gt;"")+--('WEEK 25'!I2&lt;&gt;"")+--('WEEK 25'!C3&lt;&gt;"")+--('WEEK 25'!I3&lt;&gt;"")+--('WEEK 25'!C4&lt;&gt;"")+--('WEEK 25'!I4&lt;&gt;"")+--('WEEK 25'!C5&lt;&gt;"")+--('WEEK 25'!C6&lt;&gt;"")+--('WEEK 25'!C7&lt;&gt;"")+--('WEEK 25'!I7&lt;&gt;"")+--('WEEK 25'!C8&lt;&gt;"")+--('WEEK 25'!A10&lt;&gt;"")+--('WEEK 25'!D10&lt;&gt;"")+--('WEEK 25'!H10&lt;&gt;"")+--(COUNTA('WEEK 25'!A12:D12)&gt;0)+--('WEEK 25'!E12&lt;&gt;"")+--('WEEK 25'!H12&lt;&gt;"")</f>
        <v>0</v>
      </c>
      <c r="M26" s="14">
        <f>--(LEN('WEEK 25'!B14)&gt;LEN(LISTS!$Q$2))+--(LEN('WEEK 25'!D14)&gt;LEN(LISTS!$Q$2))+--(LEN('WEEK 25'!F14)&gt;LEN(LISTS!$Q$2))+--(LEN('WEEK 25'!H14)&gt;LEN(LISTS!$Q$2))</f>
        <v>0</v>
      </c>
      <c r="N26" s="14">
        <f>--('WEEK 25'!B17&lt;&gt;"")+--('WEEK 25'!B18&lt;&gt;"")+--('WEEK 25'!B19&lt;&gt;"")+--('WEEK 25'!B20&lt;&gt;"")+--('WEEK 25'!B21&lt;&gt;"")+--(LEN('WEEK 25'!B22)&gt;LEN(LISTS!$P$2))+--('WEEK 25'!B23&lt;&gt;"")+--('WEEK 25'!B24&lt;&gt;"")+--('WEEK 25'!B25&lt;&gt;"")</f>
        <v>0</v>
      </c>
      <c r="O26" s="14">
        <f>--('WEEK 25'!G17&lt;&gt;"")+--('WEEK 25'!G18&lt;&gt;"")+--('WEEK 25'!G19&lt;&gt;"")+--('WEEK 25'!G20&lt;&gt;"")+--('WEEK 25'!G21&lt;&gt;"")+--(LEN('WEEK 25'!G22)&gt;LEN(LISTS!$P$2))+--('WEEK 25'!G23&lt;&gt;"")+--('WEEK 25'!G24&lt;&gt;"")+--('WEEK 25'!G25&lt;&gt;"")</f>
        <v>0</v>
      </c>
      <c r="P26" s="14">
        <f>--(LEN('WEEK 25'!B26)&gt;LEN(LISTS!$R$2))</f>
        <v>0</v>
      </c>
      <c r="Q26" s="14">
        <f t="shared" si="0"/>
        <v>0</v>
      </c>
      <c r="R26" s="16">
        <f t="shared" si="1"/>
        <v>0</v>
      </c>
      <c r="S26" s="14" t="str">
        <f t="shared" si="2"/>
        <v>لم يبدأ / Not Started</v>
      </c>
      <c r="T26" s="14" t="str">
        <f t="shared" si="3"/>
        <v>أكمل البيانات الأساسية / Complete core planning fields</v>
      </c>
    </row>
    <row r="27" spans="1:20">
      <c r="A27" s="14">
        <v>26</v>
      </c>
      <c r="B27" s="14" t="str">
        <f>IF('WEEK 26'!C2="","",'WEEK 26'!C2)</f>
        <v/>
      </c>
      <c r="C27" s="14" t="str">
        <f>IF('WEEK 26'!I2="","",'WEEK 26'!I2)</f>
        <v/>
      </c>
      <c r="D27" s="14" t="str">
        <f>IF('WEEK 26'!C3="","",'WEEK 26'!C3)</f>
        <v/>
      </c>
      <c r="E27" s="14" t="str">
        <f>IF('WEEK 26'!I3="","",'WEEK 26'!I3)</f>
        <v/>
      </c>
      <c r="F27" s="15" t="str">
        <f>IF('WEEK 26'!C5="","",'WEEK 26'!C5)</f>
        <v/>
      </c>
      <c r="G27" s="14" t="str">
        <f>IF('WEEK 26'!C6="","",'WEEK 26'!C6)</f>
        <v/>
      </c>
      <c r="H27" s="14" t="str">
        <f>IF('WEEK 26'!C8="","",'WEEK 26'!C8)</f>
        <v/>
      </c>
      <c r="I27" s="14" t="str">
        <f>IF('WEEK 26'!A10="","",'WEEK 26'!A10)</f>
        <v/>
      </c>
      <c r="J27" s="14" t="str">
        <f>IF('WEEK 26'!C7="","",'WEEK 26'!C7)</f>
        <v/>
      </c>
      <c r="K27" s="14" t="str">
        <f>IF('WEEK 26'!I7="","",'WEEK 26'!I7)</f>
        <v/>
      </c>
      <c r="L27" s="14">
        <f>--('WEEK 26'!C2&lt;&gt;"")+--('WEEK 26'!I2&lt;&gt;"")+--('WEEK 26'!C3&lt;&gt;"")+--('WEEK 26'!I3&lt;&gt;"")+--('WEEK 26'!C4&lt;&gt;"")+--('WEEK 26'!I4&lt;&gt;"")+--('WEEK 26'!C5&lt;&gt;"")+--('WEEK 26'!C6&lt;&gt;"")+--('WEEK 26'!C7&lt;&gt;"")+--('WEEK 26'!I7&lt;&gt;"")+--('WEEK 26'!C8&lt;&gt;"")+--('WEEK 26'!A10&lt;&gt;"")+--('WEEK 26'!D10&lt;&gt;"")+--('WEEK 26'!H10&lt;&gt;"")+--(COUNTA('WEEK 26'!A12:D12)&gt;0)+--('WEEK 26'!E12&lt;&gt;"")+--('WEEK 26'!H12&lt;&gt;"")</f>
        <v>0</v>
      </c>
      <c r="M27" s="14">
        <f>--(LEN('WEEK 26'!B14)&gt;LEN(LISTS!$Q$2))+--(LEN('WEEK 26'!D14)&gt;LEN(LISTS!$Q$2))+--(LEN('WEEK 26'!F14)&gt;LEN(LISTS!$Q$2))+--(LEN('WEEK 26'!H14)&gt;LEN(LISTS!$Q$2))</f>
        <v>0</v>
      </c>
      <c r="N27" s="14">
        <f>--('WEEK 26'!B17&lt;&gt;"")+--('WEEK 26'!B18&lt;&gt;"")+--('WEEK 26'!B19&lt;&gt;"")+--('WEEK 26'!B20&lt;&gt;"")+--('WEEK 26'!B21&lt;&gt;"")+--(LEN('WEEK 26'!B22)&gt;LEN(LISTS!$P$2))+--('WEEK 26'!B23&lt;&gt;"")+--('WEEK 26'!B24&lt;&gt;"")+--('WEEK 26'!B25&lt;&gt;"")</f>
        <v>0</v>
      </c>
      <c r="O27" s="14">
        <f>--('WEEK 26'!G17&lt;&gt;"")+--('WEEK 26'!G18&lt;&gt;"")+--('WEEK 26'!G19&lt;&gt;"")+--('WEEK 26'!G20&lt;&gt;"")+--('WEEK 26'!G21&lt;&gt;"")+--(LEN('WEEK 26'!G22)&gt;LEN(LISTS!$P$2))+--('WEEK 26'!G23&lt;&gt;"")+--('WEEK 26'!G24&lt;&gt;"")+--('WEEK 26'!G25&lt;&gt;"")</f>
        <v>0</v>
      </c>
      <c r="P27" s="14">
        <f>--(LEN('WEEK 26'!B26)&gt;LEN(LISTS!$R$2))</f>
        <v>0</v>
      </c>
      <c r="Q27" s="14">
        <f t="shared" si="0"/>
        <v>0</v>
      </c>
      <c r="R27" s="16">
        <f t="shared" si="1"/>
        <v>0</v>
      </c>
      <c r="S27" s="14" t="str">
        <f t="shared" si="2"/>
        <v>لم يبدأ / Not Started</v>
      </c>
      <c r="T27" s="14" t="str">
        <f t="shared" si="3"/>
        <v>أكمل البيانات الأساسية / Complete core planning fields</v>
      </c>
    </row>
    <row r="28" spans="1:20">
      <c r="A28" s="14">
        <v>27</v>
      </c>
      <c r="B28" s="14" t="str">
        <f>IF('WEEK 27'!C2="","",'WEEK 27'!C2)</f>
        <v/>
      </c>
      <c r="C28" s="14" t="str">
        <f>IF('WEEK 27'!I2="","",'WEEK 27'!I2)</f>
        <v/>
      </c>
      <c r="D28" s="14" t="str">
        <f>IF('WEEK 27'!C3="","",'WEEK 27'!C3)</f>
        <v/>
      </c>
      <c r="E28" s="14" t="str">
        <f>IF('WEEK 27'!I3="","",'WEEK 27'!I3)</f>
        <v/>
      </c>
      <c r="F28" s="15" t="str">
        <f>IF('WEEK 27'!C5="","",'WEEK 27'!C5)</f>
        <v/>
      </c>
      <c r="G28" s="14" t="str">
        <f>IF('WEEK 27'!C6="","",'WEEK 27'!C6)</f>
        <v/>
      </c>
      <c r="H28" s="14" t="str">
        <f>IF('WEEK 27'!C8="","",'WEEK 27'!C8)</f>
        <v/>
      </c>
      <c r="I28" s="14" t="str">
        <f>IF('WEEK 27'!A10="","",'WEEK 27'!A10)</f>
        <v/>
      </c>
      <c r="J28" s="14" t="str">
        <f>IF('WEEK 27'!C7="","",'WEEK 27'!C7)</f>
        <v/>
      </c>
      <c r="K28" s="14" t="str">
        <f>IF('WEEK 27'!I7="","",'WEEK 27'!I7)</f>
        <v/>
      </c>
      <c r="L28" s="14">
        <f>--('WEEK 27'!C2&lt;&gt;"")+--('WEEK 27'!I2&lt;&gt;"")+--('WEEK 27'!C3&lt;&gt;"")+--('WEEK 27'!I3&lt;&gt;"")+--('WEEK 27'!C4&lt;&gt;"")+--('WEEK 27'!I4&lt;&gt;"")+--('WEEK 27'!C5&lt;&gt;"")+--('WEEK 27'!C6&lt;&gt;"")+--('WEEK 27'!C7&lt;&gt;"")+--('WEEK 27'!I7&lt;&gt;"")+--('WEEK 27'!C8&lt;&gt;"")+--('WEEK 27'!A10&lt;&gt;"")+--('WEEK 27'!D10&lt;&gt;"")+--('WEEK 27'!H10&lt;&gt;"")+--(COUNTA('WEEK 27'!A12:D12)&gt;0)+--('WEEK 27'!E12&lt;&gt;"")+--('WEEK 27'!H12&lt;&gt;"")</f>
        <v>0</v>
      </c>
      <c r="M28" s="14">
        <f>--(LEN('WEEK 27'!B14)&gt;LEN(LISTS!$Q$2))+--(LEN('WEEK 27'!D14)&gt;LEN(LISTS!$Q$2))+--(LEN('WEEK 27'!F14)&gt;LEN(LISTS!$Q$2))+--(LEN('WEEK 27'!H14)&gt;LEN(LISTS!$Q$2))</f>
        <v>0</v>
      </c>
      <c r="N28" s="14">
        <f>--('WEEK 27'!B17&lt;&gt;"")+--('WEEK 27'!B18&lt;&gt;"")+--('WEEK 27'!B19&lt;&gt;"")+--('WEEK 27'!B20&lt;&gt;"")+--('WEEK 27'!B21&lt;&gt;"")+--(LEN('WEEK 27'!B22)&gt;LEN(LISTS!$P$2))+--('WEEK 27'!B23&lt;&gt;"")+--('WEEK 27'!B24&lt;&gt;"")+--('WEEK 27'!B25&lt;&gt;"")</f>
        <v>0</v>
      </c>
      <c r="O28" s="14">
        <f>--('WEEK 27'!G17&lt;&gt;"")+--('WEEK 27'!G18&lt;&gt;"")+--('WEEK 27'!G19&lt;&gt;"")+--('WEEK 27'!G20&lt;&gt;"")+--('WEEK 27'!G21&lt;&gt;"")+--(LEN('WEEK 27'!G22)&gt;LEN(LISTS!$P$2))+--('WEEK 27'!G23&lt;&gt;"")+--('WEEK 27'!G24&lt;&gt;"")+--('WEEK 27'!G25&lt;&gt;"")</f>
        <v>0</v>
      </c>
      <c r="P28" s="14">
        <f>--(LEN('WEEK 27'!B26)&gt;LEN(LISTS!$R$2))</f>
        <v>0</v>
      </c>
      <c r="Q28" s="14">
        <f t="shared" si="0"/>
        <v>0</v>
      </c>
      <c r="R28" s="16">
        <f t="shared" si="1"/>
        <v>0</v>
      </c>
      <c r="S28" s="14" t="str">
        <f t="shared" si="2"/>
        <v>لم يبدأ / Not Started</v>
      </c>
      <c r="T28" s="14" t="str">
        <f t="shared" si="3"/>
        <v>أكمل البيانات الأساسية / Complete core planning fields</v>
      </c>
    </row>
    <row r="29" spans="1:20">
      <c r="A29" s="14">
        <v>28</v>
      </c>
      <c r="B29" s="14" t="str">
        <f>IF('WEEK 28'!C2="","",'WEEK 28'!C2)</f>
        <v/>
      </c>
      <c r="C29" s="14" t="str">
        <f>IF('WEEK 28'!I2="","",'WEEK 28'!I2)</f>
        <v/>
      </c>
      <c r="D29" s="14" t="str">
        <f>IF('WEEK 28'!C3="","",'WEEK 28'!C3)</f>
        <v/>
      </c>
      <c r="E29" s="14" t="str">
        <f>IF('WEEK 28'!I3="","",'WEEK 28'!I3)</f>
        <v/>
      </c>
      <c r="F29" s="15" t="str">
        <f>IF('WEEK 28'!C5="","",'WEEK 28'!C5)</f>
        <v/>
      </c>
      <c r="G29" s="14" t="str">
        <f>IF('WEEK 28'!C6="","",'WEEK 28'!C6)</f>
        <v/>
      </c>
      <c r="H29" s="14" t="str">
        <f>IF('WEEK 28'!C8="","",'WEEK 28'!C8)</f>
        <v/>
      </c>
      <c r="I29" s="14" t="str">
        <f>IF('WEEK 28'!A10="","",'WEEK 28'!A10)</f>
        <v/>
      </c>
      <c r="J29" s="14" t="str">
        <f>IF('WEEK 28'!C7="","",'WEEK 28'!C7)</f>
        <v/>
      </c>
      <c r="K29" s="14" t="str">
        <f>IF('WEEK 28'!I7="","",'WEEK 28'!I7)</f>
        <v/>
      </c>
      <c r="L29" s="14">
        <f>--('WEEK 28'!C2&lt;&gt;"")+--('WEEK 28'!I2&lt;&gt;"")+--('WEEK 28'!C3&lt;&gt;"")+--('WEEK 28'!I3&lt;&gt;"")+--('WEEK 28'!C4&lt;&gt;"")+--('WEEK 28'!I4&lt;&gt;"")+--('WEEK 28'!C5&lt;&gt;"")+--('WEEK 28'!C6&lt;&gt;"")+--('WEEK 28'!C7&lt;&gt;"")+--('WEEK 28'!I7&lt;&gt;"")+--('WEEK 28'!C8&lt;&gt;"")+--('WEEK 28'!A10&lt;&gt;"")+--('WEEK 28'!D10&lt;&gt;"")+--('WEEK 28'!H10&lt;&gt;"")+--(COUNTA('WEEK 28'!A12:D12)&gt;0)+--('WEEK 28'!E12&lt;&gt;"")+--('WEEK 28'!H12&lt;&gt;"")</f>
        <v>0</v>
      </c>
      <c r="M29" s="14">
        <f>--(LEN('WEEK 28'!B14)&gt;LEN(LISTS!$Q$2))+--(LEN('WEEK 28'!D14)&gt;LEN(LISTS!$Q$2))+--(LEN('WEEK 28'!F14)&gt;LEN(LISTS!$Q$2))+--(LEN('WEEK 28'!H14)&gt;LEN(LISTS!$Q$2))</f>
        <v>0</v>
      </c>
      <c r="N29" s="14">
        <f>--('WEEK 28'!B17&lt;&gt;"")+--('WEEK 28'!B18&lt;&gt;"")+--('WEEK 28'!B19&lt;&gt;"")+--('WEEK 28'!B20&lt;&gt;"")+--('WEEK 28'!B21&lt;&gt;"")+--(LEN('WEEK 28'!B22)&gt;LEN(LISTS!$P$2))+--('WEEK 28'!B23&lt;&gt;"")+--('WEEK 28'!B24&lt;&gt;"")+--('WEEK 28'!B25&lt;&gt;"")</f>
        <v>0</v>
      </c>
      <c r="O29" s="14">
        <f>--('WEEK 28'!G17&lt;&gt;"")+--('WEEK 28'!G18&lt;&gt;"")+--('WEEK 28'!G19&lt;&gt;"")+--('WEEK 28'!G20&lt;&gt;"")+--('WEEK 28'!G21&lt;&gt;"")+--(LEN('WEEK 28'!G22)&gt;LEN(LISTS!$P$2))+--('WEEK 28'!G23&lt;&gt;"")+--('WEEK 28'!G24&lt;&gt;"")+--('WEEK 28'!G25&lt;&gt;"")</f>
        <v>0</v>
      </c>
      <c r="P29" s="14">
        <f>--(LEN('WEEK 28'!B26)&gt;LEN(LISTS!$R$2))</f>
        <v>0</v>
      </c>
      <c r="Q29" s="14">
        <f t="shared" si="0"/>
        <v>0</v>
      </c>
      <c r="R29" s="16">
        <f t="shared" si="1"/>
        <v>0</v>
      </c>
      <c r="S29" s="14" t="str">
        <f t="shared" si="2"/>
        <v>لم يبدأ / Not Started</v>
      </c>
      <c r="T29" s="14" t="str">
        <f t="shared" si="3"/>
        <v>أكمل البيانات الأساسية / Complete core planning fields</v>
      </c>
    </row>
    <row r="30" spans="1:20">
      <c r="A30" s="14">
        <v>29</v>
      </c>
      <c r="B30" s="14" t="str">
        <f>IF('WEEK 29'!C2="","",'WEEK 29'!C2)</f>
        <v/>
      </c>
      <c r="C30" s="14" t="str">
        <f>IF('WEEK 29'!I2="","",'WEEK 29'!I2)</f>
        <v/>
      </c>
      <c r="D30" s="14" t="str">
        <f>IF('WEEK 29'!C3="","",'WEEK 29'!C3)</f>
        <v/>
      </c>
      <c r="E30" s="14" t="str">
        <f>IF('WEEK 29'!I3="","",'WEEK 29'!I3)</f>
        <v/>
      </c>
      <c r="F30" s="15" t="str">
        <f>IF('WEEK 29'!C5="","",'WEEK 29'!C5)</f>
        <v/>
      </c>
      <c r="G30" s="14" t="str">
        <f>IF('WEEK 29'!C6="","",'WEEK 29'!C6)</f>
        <v/>
      </c>
      <c r="H30" s="14" t="str">
        <f>IF('WEEK 29'!C8="","",'WEEK 29'!C8)</f>
        <v/>
      </c>
      <c r="I30" s="14" t="str">
        <f>IF('WEEK 29'!A10="","",'WEEK 29'!A10)</f>
        <v/>
      </c>
      <c r="J30" s="14" t="str">
        <f>IF('WEEK 29'!C7="","",'WEEK 29'!C7)</f>
        <v/>
      </c>
      <c r="K30" s="14" t="str">
        <f>IF('WEEK 29'!I7="","",'WEEK 29'!I7)</f>
        <v/>
      </c>
      <c r="L30" s="14">
        <f>--('WEEK 29'!C2&lt;&gt;"")+--('WEEK 29'!I2&lt;&gt;"")+--('WEEK 29'!C3&lt;&gt;"")+--('WEEK 29'!I3&lt;&gt;"")+--('WEEK 29'!C4&lt;&gt;"")+--('WEEK 29'!I4&lt;&gt;"")+--('WEEK 29'!C5&lt;&gt;"")+--('WEEK 29'!C6&lt;&gt;"")+--('WEEK 29'!C7&lt;&gt;"")+--('WEEK 29'!I7&lt;&gt;"")+--('WEEK 29'!C8&lt;&gt;"")+--('WEEK 29'!A10&lt;&gt;"")+--('WEEK 29'!D10&lt;&gt;"")+--('WEEK 29'!H10&lt;&gt;"")+--(COUNTA('WEEK 29'!A12:D12)&gt;0)+--('WEEK 29'!E12&lt;&gt;"")+--('WEEK 29'!H12&lt;&gt;"")</f>
        <v>0</v>
      </c>
      <c r="M30" s="14">
        <f>--(LEN('WEEK 29'!B14)&gt;LEN(LISTS!$Q$2))+--(LEN('WEEK 29'!D14)&gt;LEN(LISTS!$Q$2))+--(LEN('WEEK 29'!F14)&gt;LEN(LISTS!$Q$2))+--(LEN('WEEK 29'!H14)&gt;LEN(LISTS!$Q$2))</f>
        <v>0</v>
      </c>
      <c r="N30" s="14">
        <f>--('WEEK 29'!B17&lt;&gt;"")+--('WEEK 29'!B18&lt;&gt;"")+--('WEEK 29'!B19&lt;&gt;"")+--('WEEK 29'!B20&lt;&gt;"")+--('WEEK 29'!B21&lt;&gt;"")+--(LEN('WEEK 29'!B22)&gt;LEN(LISTS!$P$2))+--('WEEK 29'!B23&lt;&gt;"")+--('WEEK 29'!B24&lt;&gt;"")+--('WEEK 29'!B25&lt;&gt;"")</f>
        <v>0</v>
      </c>
      <c r="O30" s="14">
        <f>--('WEEK 29'!G17&lt;&gt;"")+--('WEEK 29'!G18&lt;&gt;"")+--('WEEK 29'!G19&lt;&gt;"")+--('WEEK 29'!G20&lt;&gt;"")+--('WEEK 29'!G21&lt;&gt;"")+--(LEN('WEEK 29'!G22)&gt;LEN(LISTS!$P$2))+--('WEEK 29'!G23&lt;&gt;"")+--('WEEK 29'!G24&lt;&gt;"")+--('WEEK 29'!G25&lt;&gt;"")</f>
        <v>0</v>
      </c>
      <c r="P30" s="14">
        <f>--(LEN('WEEK 29'!B26)&gt;LEN(LISTS!$R$2))</f>
        <v>0</v>
      </c>
      <c r="Q30" s="14">
        <f t="shared" si="0"/>
        <v>0</v>
      </c>
      <c r="R30" s="16">
        <f t="shared" si="1"/>
        <v>0</v>
      </c>
      <c r="S30" s="14" t="str">
        <f t="shared" si="2"/>
        <v>لم يبدأ / Not Started</v>
      </c>
      <c r="T30" s="14" t="str">
        <f t="shared" si="3"/>
        <v>أكمل البيانات الأساسية / Complete core planning fields</v>
      </c>
    </row>
    <row r="31" spans="1:20">
      <c r="A31" s="14">
        <v>30</v>
      </c>
      <c r="B31" s="14" t="str">
        <f>IF('WEEK 30'!C2="","",'WEEK 30'!C2)</f>
        <v/>
      </c>
      <c r="C31" s="14" t="str">
        <f>IF('WEEK 30'!I2="","",'WEEK 30'!I2)</f>
        <v/>
      </c>
      <c r="D31" s="14" t="str">
        <f>IF('WEEK 30'!C3="","",'WEEK 30'!C3)</f>
        <v/>
      </c>
      <c r="E31" s="14" t="str">
        <f>IF('WEEK 30'!I3="","",'WEEK 30'!I3)</f>
        <v/>
      </c>
      <c r="F31" s="15" t="str">
        <f>IF('WEEK 30'!C5="","",'WEEK 30'!C5)</f>
        <v/>
      </c>
      <c r="G31" s="14" t="str">
        <f>IF('WEEK 30'!C6="","",'WEEK 30'!C6)</f>
        <v/>
      </c>
      <c r="H31" s="14" t="str">
        <f>IF('WEEK 30'!C8="","",'WEEK 30'!C8)</f>
        <v/>
      </c>
      <c r="I31" s="14" t="str">
        <f>IF('WEEK 30'!A10="","",'WEEK 30'!A10)</f>
        <v/>
      </c>
      <c r="J31" s="14" t="str">
        <f>IF('WEEK 30'!C7="","",'WEEK 30'!C7)</f>
        <v/>
      </c>
      <c r="K31" s="14" t="str">
        <f>IF('WEEK 30'!I7="","",'WEEK 30'!I7)</f>
        <v/>
      </c>
      <c r="L31" s="14">
        <f>--('WEEK 30'!C2&lt;&gt;"")+--('WEEK 30'!I2&lt;&gt;"")+--('WEEK 30'!C3&lt;&gt;"")+--('WEEK 30'!I3&lt;&gt;"")+--('WEEK 30'!C4&lt;&gt;"")+--('WEEK 30'!I4&lt;&gt;"")+--('WEEK 30'!C5&lt;&gt;"")+--('WEEK 30'!C6&lt;&gt;"")+--('WEEK 30'!C7&lt;&gt;"")+--('WEEK 30'!I7&lt;&gt;"")+--('WEEK 30'!C8&lt;&gt;"")+--('WEEK 30'!A10&lt;&gt;"")+--('WEEK 30'!D10&lt;&gt;"")+--('WEEK 30'!H10&lt;&gt;"")+--(COUNTA('WEEK 30'!A12:D12)&gt;0)+--('WEEK 30'!E12&lt;&gt;"")+--('WEEK 30'!H12&lt;&gt;"")</f>
        <v>0</v>
      </c>
      <c r="M31" s="14">
        <f>--(LEN('WEEK 30'!B14)&gt;LEN(LISTS!$Q$2))+--(LEN('WEEK 30'!D14)&gt;LEN(LISTS!$Q$2))+--(LEN('WEEK 30'!F14)&gt;LEN(LISTS!$Q$2))+--(LEN('WEEK 30'!H14)&gt;LEN(LISTS!$Q$2))</f>
        <v>0</v>
      </c>
      <c r="N31" s="14">
        <f>--('WEEK 30'!B17&lt;&gt;"")+--('WEEK 30'!B18&lt;&gt;"")+--('WEEK 30'!B19&lt;&gt;"")+--('WEEK 30'!B20&lt;&gt;"")+--('WEEK 30'!B21&lt;&gt;"")+--(LEN('WEEK 30'!B22)&gt;LEN(LISTS!$P$2))+--('WEEK 30'!B23&lt;&gt;"")+--('WEEK 30'!B24&lt;&gt;"")+--('WEEK 30'!B25&lt;&gt;"")</f>
        <v>0</v>
      </c>
      <c r="O31" s="14">
        <f>--('WEEK 30'!G17&lt;&gt;"")+--('WEEK 30'!G18&lt;&gt;"")+--('WEEK 30'!G19&lt;&gt;"")+--('WEEK 30'!G20&lt;&gt;"")+--('WEEK 30'!G21&lt;&gt;"")+--(LEN('WEEK 30'!G22)&gt;LEN(LISTS!$P$2))+--('WEEK 30'!G23&lt;&gt;"")+--('WEEK 30'!G24&lt;&gt;"")+--('WEEK 30'!G25&lt;&gt;"")</f>
        <v>0</v>
      </c>
      <c r="P31" s="14">
        <f>--(LEN('WEEK 30'!B26)&gt;LEN(LISTS!$R$2))</f>
        <v>0</v>
      </c>
      <c r="Q31" s="14">
        <f t="shared" si="0"/>
        <v>0</v>
      </c>
      <c r="R31" s="16">
        <f t="shared" si="1"/>
        <v>0</v>
      </c>
      <c r="S31" s="14" t="str">
        <f t="shared" si="2"/>
        <v>لم يبدأ / Not Started</v>
      </c>
      <c r="T31" s="14" t="str">
        <f t="shared" si="3"/>
        <v>أكمل البيانات الأساسية / Complete core planning fields</v>
      </c>
    </row>
  </sheetData>
  <conditionalFormatting sqref="R2:R31">
    <cfRule type="dataBar" priority="1">
      <dataBar>
        <cfvo type="min"/>
        <cfvo type="max"/>
        <color rgb="FF5B9BD5"/>
      </dataBar>
    </cfRule>
    <cfRule type="dataBar" priority="5">
      <dataBar>
        <cfvo type="min"/>
        <cfvo type="max"/>
        <color rgb="FF5B9BD5"/>
      </dataBar>
      <extLst>
        <ext xmlns:x14="http://schemas.microsoft.com/office/spreadsheetml/2009/9/main" uri="{B025F937-C7B1-47D3-B67F-A62EFF666E3E}">
          <x14:id>{44F705DF-6BD8-0CEC-AAE0-E7B46F81832C}</x14:id>
        </ext>
      </extLst>
    </cfRule>
  </conditionalFormatting>
  <conditionalFormatting sqref="S2:S31">
    <cfRule type="expression" dxfId="5" priority="2">
      <formula>$S2="مكتمل / Complete"</formula>
    </cfRule>
    <cfRule type="expression" dxfId="4" priority="3">
      <formula>$S2="قيد التنفيذ / In Progress"</formula>
    </cfRule>
    <cfRule type="expression" dxfId="3" priority="4">
      <formula>$S2="لم يبدأ / Not Started"</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4F705DF-6BD8-0CEC-AAE0-E7B46F81832C}">
            <x14:dataBar>
              <x14:cfvo type="min"/>
              <x14:cfvo type="max"/>
              <x14:negativeFillColor auto="1"/>
              <x14:axisColor auto="1"/>
            </x14:dataBar>
          </x14:cfRule>
          <xm:sqref>R2:R31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topLeftCell="A14" workbookViewId="0">
      <selection activeCell="A23" sqref="A17:A23"/>
    </sheetView>
  </sheetViews>
  <sheetFormatPr defaultRowHeight="14"/>
  <cols>
    <col min="1" max="1" width="28.58203125" style="65" customWidth="1"/>
    <col min="2" max="11" width="12" style="65" customWidth="1"/>
    <col min="12" max="16384" width="8.6640625" style="65"/>
  </cols>
  <sheetData>
    <row r="1" spans="1:11" ht="41.5" customHeight="1">
      <c r="A1" s="24" t="s">
        <v>135</v>
      </c>
      <c r="B1" s="24"/>
      <c r="C1" s="24"/>
      <c r="D1" s="24"/>
      <c r="E1" s="24"/>
      <c r="F1" s="24"/>
      <c r="G1" s="24"/>
      <c r="H1" s="24"/>
      <c r="I1" s="24"/>
      <c r="J1" s="24"/>
      <c r="K1" s="24"/>
    </row>
    <row r="2" spans="1:11" ht="22.65" customHeight="1">
      <c r="A2" s="51" t="s">
        <v>136</v>
      </c>
      <c r="B2" s="51"/>
      <c r="C2" s="66"/>
      <c r="D2" s="66"/>
      <c r="E2" s="66"/>
      <c r="F2" s="66"/>
      <c r="G2" s="51" t="s">
        <v>137</v>
      </c>
      <c r="H2" s="51"/>
      <c r="I2" s="66"/>
      <c r="J2" s="66"/>
      <c r="K2" s="66"/>
    </row>
    <row r="3" spans="1:11" ht="22.65" customHeight="1">
      <c r="A3" s="51" t="s">
        <v>138</v>
      </c>
      <c r="B3" s="51"/>
      <c r="C3" s="66"/>
      <c r="D3" s="66"/>
      <c r="E3" s="66"/>
      <c r="F3" s="66"/>
      <c r="G3" s="51" t="s">
        <v>139</v>
      </c>
      <c r="H3" s="51"/>
      <c r="I3" s="66"/>
      <c r="J3" s="66"/>
      <c r="K3" s="66"/>
    </row>
    <row r="4" spans="1:11" ht="22.65" customHeight="1">
      <c r="A4" s="51" t="s">
        <v>140</v>
      </c>
      <c r="B4" s="51"/>
      <c r="C4" s="66"/>
      <c r="D4" s="66"/>
      <c r="E4" s="66"/>
      <c r="F4" s="66"/>
      <c r="G4" s="51" t="s">
        <v>141</v>
      </c>
      <c r="H4" s="51"/>
      <c r="I4" s="66"/>
      <c r="J4" s="66"/>
      <c r="K4" s="66"/>
    </row>
    <row r="5" spans="1:11" ht="22.65" customHeight="1">
      <c r="A5" s="51" t="s">
        <v>142</v>
      </c>
      <c r="B5" s="51"/>
      <c r="C5" s="67"/>
      <c r="D5" s="66"/>
      <c r="E5" s="66"/>
      <c r="F5" s="66"/>
      <c r="G5" s="51" t="s">
        <v>143</v>
      </c>
      <c r="H5" s="51"/>
      <c r="I5" s="66" t="s">
        <v>25</v>
      </c>
      <c r="J5" s="66"/>
      <c r="K5" s="66"/>
    </row>
    <row r="6" spans="1:11" ht="22.65" customHeight="1">
      <c r="A6" s="51" t="s">
        <v>144</v>
      </c>
      <c r="B6" s="51"/>
      <c r="C6" s="66"/>
      <c r="D6" s="66"/>
      <c r="E6" s="66"/>
      <c r="F6" s="66"/>
      <c r="G6" s="51" t="s">
        <v>145</v>
      </c>
      <c r="H6" s="51"/>
      <c r="I6" s="68" t="s">
        <v>146</v>
      </c>
      <c r="J6" s="68"/>
      <c r="K6" s="68"/>
    </row>
    <row r="7" spans="1:11" ht="30.65" customHeight="1">
      <c r="A7" s="51" t="s">
        <v>147</v>
      </c>
      <c r="B7" s="51"/>
      <c r="C7" s="66" t="s">
        <v>120</v>
      </c>
      <c r="D7" s="66"/>
      <c r="E7" s="66"/>
      <c r="F7" s="66"/>
      <c r="G7" s="51" t="s">
        <v>148</v>
      </c>
      <c r="H7" s="51"/>
      <c r="I7" s="68"/>
      <c r="J7" s="68"/>
      <c r="K7" s="68"/>
    </row>
    <row r="8" spans="1:11" ht="22.65" customHeight="1">
      <c r="A8" s="51" t="s">
        <v>149</v>
      </c>
      <c r="B8" s="51"/>
      <c r="C8" s="66"/>
      <c r="D8" s="66"/>
      <c r="E8" s="66"/>
      <c r="F8" s="66"/>
      <c r="G8" s="66"/>
      <c r="H8" s="66"/>
      <c r="I8" s="66"/>
      <c r="J8" s="66"/>
      <c r="K8" s="66"/>
    </row>
    <row r="9" spans="1:11" ht="26.65" customHeight="1">
      <c r="A9" s="29" t="s">
        <v>150</v>
      </c>
      <c r="B9" s="29"/>
      <c r="C9" s="29"/>
      <c r="D9" s="29" t="s">
        <v>151</v>
      </c>
      <c r="E9" s="29"/>
      <c r="F9" s="29"/>
      <c r="G9" s="29"/>
      <c r="H9" s="29" t="s">
        <v>152</v>
      </c>
      <c r="I9" s="29"/>
      <c r="J9" s="29"/>
      <c r="K9" s="29"/>
    </row>
    <row r="10" spans="1:11" ht="30.65" customHeight="1">
      <c r="A10" s="69"/>
      <c r="B10" s="69"/>
      <c r="C10" s="69"/>
      <c r="D10" s="70"/>
      <c r="E10" s="70"/>
      <c r="F10" s="70"/>
      <c r="G10" s="70"/>
      <c r="H10" s="70"/>
      <c r="I10" s="70"/>
      <c r="J10" s="70"/>
      <c r="K10" s="70"/>
    </row>
    <row r="11" spans="1:11" ht="28" customHeight="1">
      <c r="A11" s="29" t="s">
        <v>153</v>
      </c>
      <c r="B11" s="29"/>
      <c r="C11" s="29"/>
      <c r="D11" s="29"/>
      <c r="E11" s="29" t="s">
        <v>154</v>
      </c>
      <c r="F11" s="29"/>
      <c r="G11" s="29"/>
      <c r="H11" s="29" t="s">
        <v>155</v>
      </c>
      <c r="I11" s="29"/>
      <c r="J11" s="29"/>
      <c r="K11" s="29"/>
    </row>
    <row r="12" spans="1:11" ht="26.65" customHeight="1">
      <c r="A12" s="71"/>
      <c r="B12" s="71"/>
      <c r="C12" s="71"/>
      <c r="D12" s="71"/>
      <c r="E12" s="70"/>
      <c r="F12" s="70"/>
      <c r="G12" s="70"/>
      <c r="H12" s="70"/>
      <c r="I12" s="70"/>
      <c r="J12" s="70"/>
      <c r="K12" s="70"/>
    </row>
    <row r="13" spans="1:11" ht="28" customHeight="1">
      <c r="A13" s="10" t="s">
        <v>156</v>
      </c>
      <c r="B13" s="32" t="s">
        <v>157</v>
      </c>
      <c r="C13" s="32"/>
      <c r="D13" s="32" t="s">
        <v>158</v>
      </c>
      <c r="E13" s="32"/>
      <c r="F13" s="32" t="s">
        <v>159</v>
      </c>
      <c r="G13" s="32"/>
      <c r="H13" s="32" t="s">
        <v>160</v>
      </c>
      <c r="I13" s="32"/>
      <c r="J13" s="32"/>
      <c r="K13" s="32"/>
    </row>
    <row r="14" spans="1:11" ht="51.5" customHeight="1">
      <c r="A14" s="72" t="s">
        <v>161</v>
      </c>
      <c r="B14" s="77" t="s">
        <v>30</v>
      </c>
      <c r="C14" s="77"/>
      <c r="D14" s="77" t="s">
        <v>30</v>
      </c>
      <c r="E14" s="77"/>
      <c r="F14" s="77" t="s">
        <v>30</v>
      </c>
      <c r="G14" s="77"/>
      <c r="H14" s="77" t="s">
        <v>30</v>
      </c>
      <c r="I14" s="77"/>
      <c r="J14" s="77"/>
      <c r="K14" s="77"/>
    </row>
    <row r="15" spans="1:11" ht="12" customHeight="1">
      <c r="A15" s="72"/>
      <c r="B15" s="77"/>
      <c r="C15" s="77"/>
      <c r="D15" s="77"/>
      <c r="E15" s="77"/>
      <c r="F15" s="77"/>
      <c r="G15" s="77"/>
      <c r="H15" s="77"/>
      <c r="I15" s="77"/>
      <c r="J15" s="77"/>
      <c r="K15" s="77"/>
    </row>
    <row r="16" spans="1:11" ht="25.4" customHeight="1">
      <c r="A16" s="11" t="s">
        <v>162</v>
      </c>
      <c r="B16" s="36" t="s">
        <v>163</v>
      </c>
      <c r="C16" s="36"/>
      <c r="D16" s="36"/>
      <c r="E16" s="36"/>
      <c r="F16" s="36"/>
      <c r="G16" s="36" t="s">
        <v>164</v>
      </c>
      <c r="H16" s="36"/>
      <c r="I16" s="36"/>
      <c r="J16" s="36"/>
      <c r="K16" s="36"/>
    </row>
    <row r="17" spans="1:11" ht="62.5" customHeight="1">
      <c r="A17" s="63" t="s">
        <v>245</v>
      </c>
      <c r="B17" s="73"/>
      <c r="C17" s="73"/>
      <c r="D17" s="73"/>
      <c r="E17" s="73"/>
      <c r="F17" s="73"/>
      <c r="G17" s="73"/>
      <c r="H17" s="73"/>
      <c r="I17" s="73"/>
      <c r="J17" s="73"/>
      <c r="K17" s="73"/>
    </row>
    <row r="18" spans="1:11" ht="55.5" customHeight="1">
      <c r="A18" s="63" t="s">
        <v>246</v>
      </c>
      <c r="B18" s="73"/>
      <c r="C18" s="73"/>
      <c r="D18" s="73"/>
      <c r="E18" s="73"/>
      <c r="F18" s="73"/>
      <c r="G18" s="73"/>
      <c r="H18" s="73"/>
      <c r="I18" s="73"/>
      <c r="J18" s="73"/>
      <c r="K18" s="73"/>
    </row>
    <row r="19" spans="1:11" ht="60" customHeight="1">
      <c r="A19" s="63" t="s">
        <v>247</v>
      </c>
      <c r="B19" s="73"/>
      <c r="C19" s="73"/>
      <c r="D19" s="73"/>
      <c r="E19" s="73"/>
      <c r="F19" s="73"/>
      <c r="G19" s="73"/>
      <c r="H19" s="73"/>
      <c r="I19" s="73"/>
      <c r="J19" s="73"/>
      <c r="K19" s="73"/>
    </row>
    <row r="20" spans="1:11" ht="71" customHeight="1">
      <c r="A20" s="63" t="s">
        <v>248</v>
      </c>
      <c r="B20" s="73"/>
      <c r="C20" s="73"/>
      <c r="D20" s="73"/>
      <c r="E20" s="73"/>
      <c r="F20" s="73"/>
      <c r="G20" s="73"/>
      <c r="H20" s="73"/>
      <c r="I20" s="73"/>
      <c r="J20" s="73"/>
      <c r="K20" s="73"/>
    </row>
    <row r="21" spans="1:11" ht="68" customHeight="1">
      <c r="A21" s="63" t="s">
        <v>249</v>
      </c>
      <c r="B21" s="73"/>
      <c r="C21" s="73"/>
      <c r="D21" s="73"/>
      <c r="E21" s="73"/>
      <c r="F21" s="73"/>
      <c r="G21" s="73"/>
      <c r="H21" s="73"/>
      <c r="I21" s="73"/>
      <c r="J21" s="73"/>
      <c r="K21" s="73"/>
    </row>
    <row r="22" spans="1:11" ht="81" customHeight="1">
      <c r="A22" s="63" t="s">
        <v>250</v>
      </c>
      <c r="B22" s="73" t="s">
        <v>29</v>
      </c>
      <c r="C22" s="73"/>
      <c r="D22" s="73"/>
      <c r="E22" s="73"/>
      <c r="F22" s="73"/>
      <c r="G22" s="73" t="s">
        <v>29</v>
      </c>
      <c r="H22" s="73"/>
      <c r="I22" s="73"/>
      <c r="J22" s="73"/>
      <c r="K22" s="73"/>
    </row>
    <row r="23" spans="1:11" ht="80" customHeight="1">
      <c r="A23" s="63" t="s">
        <v>251</v>
      </c>
      <c r="B23" s="73"/>
      <c r="C23" s="73"/>
      <c r="D23" s="73"/>
      <c r="E23" s="73"/>
      <c r="F23" s="73"/>
      <c r="G23" s="73"/>
      <c r="H23" s="73"/>
      <c r="I23" s="73"/>
      <c r="J23" s="73"/>
      <c r="K23" s="73"/>
    </row>
    <row r="24" spans="1:11" ht="22.65" customHeight="1">
      <c r="A24" s="64" t="s">
        <v>172</v>
      </c>
      <c r="B24" s="66"/>
      <c r="C24" s="66"/>
      <c r="D24" s="66"/>
      <c r="E24" s="66"/>
      <c r="F24" s="66"/>
      <c r="G24" s="66"/>
      <c r="H24" s="66"/>
      <c r="I24" s="66"/>
      <c r="J24" s="66"/>
      <c r="K24" s="66"/>
    </row>
    <row r="25" spans="1:11" ht="28" customHeight="1">
      <c r="A25" s="9" t="s">
        <v>173</v>
      </c>
      <c r="B25" s="73"/>
      <c r="C25" s="73"/>
      <c r="D25" s="73"/>
      <c r="E25" s="73"/>
      <c r="F25" s="73"/>
      <c r="G25" s="73"/>
      <c r="H25" s="73"/>
      <c r="I25" s="73"/>
      <c r="J25" s="73"/>
      <c r="K25" s="73"/>
    </row>
    <row r="26" spans="1:11" ht="28" customHeight="1">
      <c r="A26" s="29" t="s">
        <v>174</v>
      </c>
      <c r="B26" s="70" t="s">
        <v>31</v>
      </c>
      <c r="C26" s="70"/>
      <c r="D26" s="70"/>
      <c r="E26" s="70"/>
      <c r="F26" s="70"/>
      <c r="G26" s="70"/>
      <c r="H26" s="70"/>
      <c r="I26" s="70"/>
      <c r="J26" s="70"/>
      <c r="K26" s="70"/>
    </row>
    <row r="27" spans="1:11" ht="28" customHeight="1">
      <c r="A27" s="29"/>
      <c r="B27" s="70"/>
      <c r="C27" s="70"/>
      <c r="D27" s="70"/>
      <c r="E27" s="70"/>
      <c r="F27" s="70"/>
      <c r="G27" s="70"/>
      <c r="H27" s="70"/>
      <c r="I27" s="70"/>
      <c r="J27" s="70"/>
      <c r="K27" s="70"/>
    </row>
    <row r="28" spans="1:11" ht="33.4" customHeight="1">
      <c r="A28" s="75" t="s">
        <v>175</v>
      </c>
      <c r="B28" s="75"/>
      <c r="C28" s="75"/>
      <c r="D28" s="75"/>
      <c r="E28" s="75"/>
      <c r="F28" s="75"/>
      <c r="G28" s="75"/>
      <c r="H28" s="75"/>
      <c r="I28" s="75"/>
      <c r="J28" s="75"/>
      <c r="K28" s="75"/>
    </row>
    <row r="29" spans="1:11" ht="25.4" customHeight="1">
      <c r="A29" s="76" t="s">
        <v>176</v>
      </c>
      <c r="B29" s="76"/>
      <c r="C29" s="76"/>
      <c r="D29" s="76"/>
      <c r="E29" s="76"/>
      <c r="F29" s="76"/>
      <c r="G29" s="76"/>
      <c r="H29" s="76"/>
      <c r="I29" s="76"/>
      <c r="J29" s="76"/>
      <c r="K29" s="76"/>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100-000000000000}">
      <formula1>INDIRECT("LISTS!$B$2:$B$10")</formula1>
    </dataValidation>
    <dataValidation type="list" sqref="I2" xr:uid="{00000000-0002-0000-0100-000001000000}">
      <formula1>INDIRECT("LISTS!$C$2:$C$5")</formula1>
    </dataValidation>
    <dataValidation type="list" sqref="C3" xr:uid="{00000000-0002-0000-0100-000002000000}">
      <formula1>INDIRECT("LISTS!$D$2:$D$15")</formula1>
    </dataValidation>
    <dataValidation type="list" sqref="I3" xr:uid="{00000000-0002-0000-0100-000003000000}">
      <formula1>INDIRECT("LISTS!$E$2:$E$9")</formula1>
    </dataValidation>
    <dataValidation type="list" sqref="C4" xr:uid="{00000000-0002-0000-0100-000004000000}">
      <formula1>INDIRECT("LISTS!$F$2:$F$32")</formula1>
    </dataValidation>
    <dataValidation type="list" sqref="I4" xr:uid="{00000000-0002-0000-0100-000005000000}">
      <formula1>INDIRECT("LISTS!$G$2:$G$6")</formula1>
    </dataValidation>
    <dataValidation type="list" sqref="C5" xr:uid="{00000000-0002-0000-0100-000006000000}">
      <formula1>INDIRECT("LISTS!$H$2:$H$196")</formula1>
    </dataValidation>
    <dataValidation type="list" sqref="I5" xr:uid="{00000000-0002-0000-0100-000007000000}">
      <formula1>INDIRECT("LISTS!$K$2:$K$2")</formula1>
    </dataValidation>
    <dataValidation type="list" sqref="C6" xr:uid="{00000000-0002-0000-0100-000008000000}">
      <formula1>INDIRECT("LISTS!$A$2:$A$8")</formula1>
    </dataValidation>
    <dataValidation type="list" sqref="C7" xr:uid="{00000000-0002-0000-0100-000009000000}">
      <formula1>INDIRECT("LISTS!$N$2:$N$36")</formula1>
    </dataValidation>
    <dataValidation type="list" sqref="B24 J24 F24:H24 D24" xr:uid="{00000000-0002-0000-0100-00000A000000}">
      <formula1>INDIRECT("LISTS!$J$2:$J$5")</formula1>
    </dataValidation>
    <dataValidation type="list" sqref="A12:D12" xr:uid="{00000000-0002-0000-0100-00000F000000}">
      <formula1>INDIRECT("LISTS!$I$2:$I$18")</formula1>
    </dataValidation>
    <dataValidation type="list" sqref="C8" xr:uid="{00000000-0002-0000-0100-000010000000}">
      <formula1>INDIRECT("LISTS!$O$2:$O$11")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abSelected="1" topLeftCell="A22" workbookViewId="0">
      <selection activeCell="C6" sqref="C6:F6"/>
    </sheetView>
  </sheetViews>
  <sheetFormatPr defaultRowHeight="14"/>
  <cols>
    <col min="1" max="1" width="25" style="65" customWidth="1"/>
    <col min="2" max="11" width="12" style="65" customWidth="1"/>
    <col min="12" max="16384" width="8.6640625" style="65"/>
  </cols>
  <sheetData>
    <row r="1" spans="1:11" ht="29.4" customHeight="1">
      <c r="A1" s="24" t="s">
        <v>135</v>
      </c>
      <c r="B1" s="24"/>
      <c r="C1" s="24"/>
      <c r="D1" s="24"/>
      <c r="E1" s="24"/>
      <c r="F1" s="24"/>
      <c r="G1" s="24"/>
      <c r="H1" s="24"/>
      <c r="I1" s="24"/>
      <c r="J1" s="24"/>
      <c r="K1" s="24"/>
    </row>
    <row r="2" spans="1:11" ht="22.65" customHeight="1">
      <c r="A2" s="51" t="s">
        <v>136</v>
      </c>
      <c r="B2" s="51"/>
      <c r="C2" s="66"/>
      <c r="D2" s="66"/>
      <c r="E2" s="66"/>
      <c r="F2" s="66"/>
      <c r="G2" s="51" t="s">
        <v>137</v>
      </c>
      <c r="H2" s="51"/>
      <c r="I2" s="66"/>
      <c r="J2" s="66"/>
      <c r="K2" s="66"/>
    </row>
    <row r="3" spans="1:11" ht="22.65" customHeight="1">
      <c r="A3" s="51" t="s">
        <v>138</v>
      </c>
      <c r="B3" s="51"/>
      <c r="C3" s="66"/>
      <c r="D3" s="66"/>
      <c r="E3" s="66"/>
      <c r="F3" s="66"/>
      <c r="G3" s="51" t="s">
        <v>139</v>
      </c>
      <c r="H3" s="51"/>
      <c r="I3" s="66"/>
      <c r="J3" s="66"/>
      <c r="K3" s="66"/>
    </row>
    <row r="4" spans="1:11" ht="22.65" customHeight="1">
      <c r="A4" s="51" t="s">
        <v>140</v>
      </c>
      <c r="B4" s="51"/>
      <c r="C4" s="66"/>
      <c r="D4" s="66"/>
      <c r="E4" s="66"/>
      <c r="F4" s="66"/>
      <c r="G4" s="51" t="s">
        <v>141</v>
      </c>
      <c r="H4" s="51"/>
      <c r="I4" s="66"/>
      <c r="J4" s="66"/>
      <c r="K4" s="66"/>
    </row>
    <row r="5" spans="1:11" ht="22.65" customHeight="1">
      <c r="A5" s="51" t="s">
        <v>142</v>
      </c>
      <c r="B5" s="51"/>
      <c r="C5" s="67"/>
      <c r="D5" s="66"/>
      <c r="E5" s="66"/>
      <c r="F5" s="66"/>
      <c r="G5" s="51" t="s">
        <v>143</v>
      </c>
      <c r="H5" s="51"/>
      <c r="I5" s="66" t="s">
        <v>25</v>
      </c>
      <c r="J5" s="66"/>
      <c r="K5" s="66"/>
    </row>
    <row r="6" spans="1:11" ht="22.65" customHeight="1">
      <c r="A6" s="51" t="s">
        <v>144</v>
      </c>
      <c r="B6" s="51"/>
      <c r="C6" s="66"/>
      <c r="D6" s="66"/>
      <c r="E6" s="66"/>
      <c r="F6" s="66"/>
      <c r="G6" s="51" t="s">
        <v>145</v>
      </c>
      <c r="H6" s="51"/>
      <c r="I6" s="68" t="s">
        <v>177</v>
      </c>
      <c r="J6" s="68"/>
      <c r="K6" s="68"/>
    </row>
    <row r="7" spans="1:11" ht="30.65" customHeight="1">
      <c r="A7" s="51" t="s">
        <v>147</v>
      </c>
      <c r="B7" s="51"/>
      <c r="C7" s="66"/>
      <c r="D7" s="66"/>
      <c r="E7" s="66"/>
      <c r="F7" s="66"/>
      <c r="G7" s="51" t="s">
        <v>148</v>
      </c>
      <c r="H7" s="51"/>
      <c r="I7" s="68"/>
      <c r="J7" s="68"/>
      <c r="K7" s="68"/>
    </row>
    <row r="8" spans="1:11" ht="22.65" customHeight="1">
      <c r="A8" s="51" t="s">
        <v>149</v>
      </c>
      <c r="B8" s="51"/>
      <c r="C8" s="66"/>
      <c r="D8" s="66"/>
      <c r="E8" s="66"/>
      <c r="F8" s="66"/>
      <c r="G8" s="66"/>
      <c r="H8" s="66"/>
      <c r="I8" s="66"/>
      <c r="J8" s="66"/>
      <c r="K8" s="66"/>
    </row>
    <row r="9" spans="1:11" ht="26.65" customHeight="1">
      <c r="A9" s="29" t="s">
        <v>150</v>
      </c>
      <c r="B9" s="29"/>
      <c r="C9" s="29"/>
      <c r="D9" s="29" t="s">
        <v>151</v>
      </c>
      <c r="E9" s="29"/>
      <c r="F9" s="29"/>
      <c r="G9" s="29"/>
      <c r="H9" s="29" t="s">
        <v>152</v>
      </c>
      <c r="I9" s="29"/>
      <c r="J9" s="29"/>
      <c r="K9" s="29"/>
    </row>
    <row r="10" spans="1:11" ht="30.65" customHeight="1">
      <c r="A10" s="69"/>
      <c r="B10" s="69"/>
      <c r="C10" s="69"/>
      <c r="D10" s="70"/>
      <c r="E10" s="70"/>
      <c r="F10" s="70"/>
      <c r="G10" s="70"/>
      <c r="H10" s="70"/>
      <c r="I10" s="70"/>
      <c r="J10" s="70"/>
      <c r="K10" s="70"/>
    </row>
    <row r="11" spans="1:11" ht="28" customHeight="1">
      <c r="A11" s="29" t="s">
        <v>153</v>
      </c>
      <c r="B11" s="29"/>
      <c r="C11" s="29"/>
      <c r="D11" s="29"/>
      <c r="E11" s="29" t="s">
        <v>154</v>
      </c>
      <c r="F11" s="29"/>
      <c r="G11" s="29"/>
      <c r="H11" s="29" t="s">
        <v>155</v>
      </c>
      <c r="I11" s="29"/>
      <c r="J11" s="29"/>
      <c r="K11" s="29"/>
    </row>
    <row r="12" spans="1:11" ht="26.65" customHeight="1">
      <c r="A12" s="71"/>
      <c r="B12" s="71"/>
      <c r="C12" s="71"/>
      <c r="D12" s="71"/>
      <c r="E12" s="70"/>
      <c r="F12" s="70"/>
      <c r="G12" s="70"/>
      <c r="H12" s="70"/>
      <c r="I12" s="70"/>
      <c r="J12" s="70"/>
      <c r="K12" s="70"/>
    </row>
    <row r="13" spans="1:11" ht="28" customHeight="1">
      <c r="A13" s="10" t="s">
        <v>156</v>
      </c>
      <c r="B13" s="32" t="s">
        <v>157</v>
      </c>
      <c r="C13" s="32"/>
      <c r="D13" s="32" t="s">
        <v>158</v>
      </c>
      <c r="E13" s="32"/>
      <c r="F13" s="32" t="s">
        <v>159</v>
      </c>
      <c r="G13" s="32"/>
      <c r="H13" s="32" t="s">
        <v>160</v>
      </c>
      <c r="I13" s="32"/>
      <c r="J13" s="32"/>
      <c r="K13" s="32"/>
    </row>
    <row r="14" spans="1:11" ht="37.4" customHeight="1">
      <c r="A14" s="72" t="s">
        <v>161</v>
      </c>
      <c r="B14" s="73" t="s">
        <v>30</v>
      </c>
      <c r="C14" s="73"/>
      <c r="D14" s="73" t="s">
        <v>30</v>
      </c>
      <c r="E14" s="73"/>
      <c r="F14" s="73" t="s">
        <v>30</v>
      </c>
      <c r="G14" s="73"/>
      <c r="H14" s="73" t="s">
        <v>30</v>
      </c>
      <c r="I14" s="73"/>
      <c r="J14" s="73"/>
      <c r="K14" s="73"/>
    </row>
    <row r="15" spans="1:11" ht="12" customHeight="1">
      <c r="A15" s="72"/>
      <c r="B15" s="73"/>
      <c r="C15" s="73"/>
      <c r="D15" s="73"/>
      <c r="E15" s="73"/>
      <c r="F15" s="73"/>
      <c r="G15" s="73"/>
      <c r="H15" s="73"/>
      <c r="I15" s="73"/>
      <c r="J15" s="73"/>
      <c r="K15" s="73"/>
    </row>
    <row r="16" spans="1:11" ht="25.4" customHeight="1">
      <c r="A16" s="11" t="s">
        <v>162</v>
      </c>
      <c r="B16" s="36" t="s">
        <v>163</v>
      </c>
      <c r="C16" s="36"/>
      <c r="D16" s="36"/>
      <c r="E16" s="36"/>
      <c r="F16" s="36"/>
      <c r="G16" s="36" t="s">
        <v>164</v>
      </c>
      <c r="H16" s="36"/>
      <c r="I16" s="36"/>
      <c r="J16" s="36"/>
      <c r="K16" s="36"/>
    </row>
    <row r="17" spans="1:11" ht="48" customHeight="1">
      <c r="A17" s="63" t="s">
        <v>165</v>
      </c>
      <c r="B17" s="73"/>
      <c r="C17" s="73"/>
      <c r="D17" s="73"/>
      <c r="E17" s="73"/>
      <c r="F17" s="73"/>
      <c r="G17" s="73"/>
      <c r="H17" s="73"/>
      <c r="I17" s="73"/>
      <c r="J17" s="73"/>
      <c r="K17" s="73"/>
    </row>
    <row r="18" spans="1:11" ht="44" customHeight="1">
      <c r="A18" s="63" t="s">
        <v>166</v>
      </c>
      <c r="B18" s="73"/>
      <c r="C18" s="73"/>
      <c r="D18" s="73"/>
      <c r="E18" s="73"/>
      <c r="F18" s="73"/>
      <c r="G18" s="73"/>
      <c r="H18" s="73"/>
      <c r="I18" s="73"/>
      <c r="J18" s="73"/>
      <c r="K18" s="73"/>
    </row>
    <row r="19" spans="1:11" ht="44" customHeight="1">
      <c r="A19" s="63" t="s">
        <v>167</v>
      </c>
      <c r="B19" s="73"/>
      <c r="C19" s="73"/>
      <c r="D19" s="73"/>
      <c r="E19" s="73"/>
      <c r="F19" s="73"/>
      <c r="G19" s="73"/>
      <c r="H19" s="73"/>
      <c r="I19" s="73"/>
      <c r="J19" s="73"/>
      <c r="K19" s="73"/>
    </row>
    <row r="20" spans="1:11" ht="52" customHeight="1">
      <c r="A20" s="63" t="s">
        <v>168</v>
      </c>
      <c r="B20" s="73"/>
      <c r="C20" s="73"/>
      <c r="D20" s="73"/>
      <c r="E20" s="73"/>
      <c r="F20" s="73"/>
      <c r="G20" s="73"/>
      <c r="H20" s="73"/>
      <c r="I20" s="73"/>
      <c r="J20" s="73"/>
      <c r="K20" s="73"/>
    </row>
    <row r="21" spans="1:11" ht="48" customHeight="1">
      <c r="A21" s="63" t="s">
        <v>169</v>
      </c>
      <c r="B21" s="73"/>
      <c r="C21" s="73"/>
      <c r="D21" s="73"/>
      <c r="E21" s="73"/>
      <c r="F21" s="73"/>
      <c r="G21" s="73"/>
      <c r="H21" s="73"/>
      <c r="I21" s="73"/>
      <c r="J21" s="73"/>
      <c r="K21" s="73"/>
    </row>
    <row r="22" spans="1:11" ht="74.650000000000006" customHeight="1">
      <c r="A22" s="63" t="s">
        <v>170</v>
      </c>
      <c r="B22" s="73" t="s">
        <v>29</v>
      </c>
      <c r="C22" s="73"/>
      <c r="D22" s="73"/>
      <c r="E22" s="73"/>
      <c r="F22" s="73"/>
      <c r="G22" s="73" t="s">
        <v>29</v>
      </c>
      <c r="H22" s="73"/>
      <c r="I22" s="73"/>
      <c r="J22" s="73"/>
      <c r="K22" s="73"/>
    </row>
    <row r="23" spans="1:11" ht="58.65" customHeight="1">
      <c r="A23" s="63" t="s">
        <v>171</v>
      </c>
      <c r="B23" s="73"/>
      <c r="C23" s="73"/>
      <c r="D23" s="73"/>
      <c r="E23" s="73"/>
      <c r="F23" s="73"/>
      <c r="G23" s="73"/>
      <c r="H23" s="73"/>
      <c r="I23" s="73"/>
      <c r="J23" s="73"/>
      <c r="K23" s="73"/>
    </row>
    <row r="24" spans="1:11" ht="22.65" customHeight="1">
      <c r="A24" s="64" t="s">
        <v>172</v>
      </c>
      <c r="B24" s="66"/>
      <c r="C24" s="66"/>
      <c r="D24" s="66"/>
      <c r="E24" s="66"/>
      <c r="F24" s="66"/>
      <c r="G24" s="66"/>
      <c r="H24" s="66"/>
      <c r="I24" s="66"/>
      <c r="J24" s="66"/>
      <c r="K24" s="66"/>
    </row>
    <row r="25" spans="1:11" ht="28" customHeight="1">
      <c r="A25" s="9" t="s">
        <v>173</v>
      </c>
      <c r="B25" s="73"/>
      <c r="C25" s="73"/>
      <c r="D25" s="73"/>
      <c r="E25" s="73"/>
      <c r="F25" s="73"/>
      <c r="G25" s="73"/>
      <c r="H25" s="73"/>
      <c r="I25" s="73"/>
      <c r="J25" s="73"/>
      <c r="K25" s="73"/>
    </row>
    <row r="26" spans="1:11" ht="28" customHeight="1">
      <c r="A26" s="29" t="s">
        <v>174</v>
      </c>
      <c r="B26" s="70" t="s">
        <v>31</v>
      </c>
      <c r="C26" s="70"/>
      <c r="D26" s="70"/>
      <c r="E26" s="70"/>
      <c r="F26" s="70"/>
      <c r="G26" s="70"/>
      <c r="H26" s="70"/>
      <c r="I26" s="70"/>
      <c r="J26" s="70"/>
      <c r="K26" s="70"/>
    </row>
    <row r="27" spans="1:11" ht="28" customHeight="1">
      <c r="A27" s="29"/>
      <c r="B27" s="70"/>
      <c r="C27" s="70"/>
      <c r="D27" s="70"/>
      <c r="E27" s="70"/>
      <c r="F27" s="70"/>
      <c r="G27" s="70"/>
      <c r="H27" s="70"/>
      <c r="I27" s="70"/>
      <c r="J27" s="70"/>
      <c r="K27" s="70"/>
    </row>
    <row r="28" spans="1:11" ht="33.4" customHeight="1">
      <c r="A28" s="74" t="s">
        <v>175</v>
      </c>
      <c r="B28" s="74"/>
      <c r="C28" s="74"/>
      <c r="D28" s="74"/>
      <c r="E28" s="74"/>
      <c r="F28" s="74"/>
      <c r="G28" s="74"/>
      <c r="H28" s="74"/>
      <c r="I28" s="74"/>
      <c r="J28" s="74"/>
      <c r="K28" s="74"/>
    </row>
    <row r="29" spans="1:11" ht="25.4" customHeight="1">
      <c r="A29" s="74" t="s">
        <v>176</v>
      </c>
      <c r="B29" s="74"/>
      <c r="C29" s="74"/>
      <c r="D29" s="74"/>
      <c r="E29" s="74"/>
      <c r="F29" s="74"/>
      <c r="G29" s="74"/>
      <c r="H29" s="74"/>
      <c r="I29" s="74"/>
      <c r="J29" s="74"/>
      <c r="K29" s="74"/>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200-000000000000}">
      <formula1>INDIRECT("LISTS!$B$2:$B$10")</formula1>
    </dataValidation>
    <dataValidation type="list" sqref="I2" xr:uid="{00000000-0002-0000-0200-000001000000}">
      <formula1>INDIRECT("LISTS!$C$2:$C$5")</formula1>
    </dataValidation>
    <dataValidation type="list" sqref="C3" xr:uid="{00000000-0002-0000-0200-000002000000}">
      <formula1>INDIRECT("LISTS!$D$2:$D$15")</formula1>
    </dataValidation>
    <dataValidation type="list" sqref="I3" xr:uid="{00000000-0002-0000-0200-000003000000}">
      <formula1>INDIRECT("LISTS!$E$2:$E$9")</formula1>
    </dataValidation>
    <dataValidation type="list" sqref="C4" xr:uid="{00000000-0002-0000-0200-000004000000}">
      <formula1>INDIRECT("LISTS!$F$2:$F$32")</formula1>
    </dataValidation>
    <dataValidation type="list" sqref="I4" xr:uid="{00000000-0002-0000-0200-000005000000}">
      <formula1>INDIRECT("LISTS!$G$2:$G$6")</formula1>
    </dataValidation>
    <dataValidation type="list" sqref="C5" xr:uid="{00000000-0002-0000-0200-000006000000}">
      <formula1>INDIRECT("LISTS!$H$2:$H$196")</formula1>
    </dataValidation>
    <dataValidation type="list" sqref="I5" xr:uid="{00000000-0002-0000-0200-000007000000}">
      <formula1>INDIRECT("LISTS!$K$2:$K$2")</formula1>
    </dataValidation>
    <dataValidation type="list" sqref="C6" xr:uid="{00000000-0002-0000-0200-000008000000}">
      <formula1>INDIRECT("LISTS!$A$2:$A$8")</formula1>
    </dataValidation>
    <dataValidation type="list" sqref="C7" xr:uid="{00000000-0002-0000-0200-000009000000}">
      <formula1>INDIRECT("LISTS!$N$2:$N$36")</formula1>
    </dataValidation>
    <dataValidation type="list" sqref="B24 J24 F24:H24 D24" xr:uid="{00000000-0002-0000-0200-00000A000000}">
      <formula1>INDIRECT("LISTS!$J$2:$J$5")</formula1>
    </dataValidation>
    <dataValidation type="list" sqref="A12:D12" xr:uid="{00000000-0002-0000-0200-00000F000000}">
      <formula1>INDIRECT("LISTS!$I$2:$I$18")</formula1>
    </dataValidation>
    <dataValidation type="list" sqref="C8" xr:uid="{00000000-0002-0000-0200-000010000000}">
      <formula1>INDIRECT("LISTS!$O$2:$O$11")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178</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300-000000000000}">
      <formula1>INDIRECT("LISTS!$B$2:$B$10")</formula1>
    </dataValidation>
    <dataValidation type="list" sqref="I2" xr:uid="{00000000-0002-0000-0300-000001000000}">
      <formula1>INDIRECT("LISTS!$C$2:$C$5")</formula1>
    </dataValidation>
    <dataValidation type="list" sqref="C3" xr:uid="{00000000-0002-0000-0300-000002000000}">
      <formula1>INDIRECT("LISTS!$D$2:$D$15")</formula1>
    </dataValidation>
    <dataValidation type="list" sqref="I3" xr:uid="{00000000-0002-0000-0300-000003000000}">
      <formula1>INDIRECT("LISTS!$E$2:$E$9")</formula1>
    </dataValidation>
    <dataValidation type="list" sqref="C4" xr:uid="{00000000-0002-0000-0300-000004000000}">
      <formula1>INDIRECT("LISTS!$F$2:$F$32")</formula1>
    </dataValidation>
    <dataValidation type="list" sqref="I4" xr:uid="{00000000-0002-0000-0300-000005000000}">
      <formula1>INDIRECT("LISTS!$G$2:$G$6")</formula1>
    </dataValidation>
    <dataValidation type="list" sqref="C5" xr:uid="{00000000-0002-0000-0300-000006000000}">
      <formula1>INDIRECT("LISTS!$H$2:$H$196")</formula1>
    </dataValidation>
    <dataValidation type="list" sqref="I5" xr:uid="{00000000-0002-0000-0300-000007000000}">
      <formula1>INDIRECT("LISTS!$K$2:$K$2")</formula1>
    </dataValidation>
    <dataValidation type="list" sqref="C6" xr:uid="{00000000-0002-0000-0300-000008000000}">
      <formula1>INDIRECT("LISTS!$A$2:$A$8")</formula1>
    </dataValidation>
    <dataValidation type="list" sqref="C7" xr:uid="{00000000-0002-0000-0300-000009000000}">
      <formula1>INDIRECT("LISTS!$N$2:$N$36")</formula1>
    </dataValidation>
    <dataValidation type="list" sqref="B24 J24 F24:H24 D24" xr:uid="{00000000-0002-0000-0300-00000A000000}">
      <formula1>INDIRECT("LISTS!$J$2:$J$5")</formula1>
    </dataValidation>
    <dataValidation type="list" sqref="A12:D12" xr:uid="{00000000-0002-0000-0300-00000F000000}">
      <formula1>INDIRECT("LISTS!$I$2:$I$18")</formula1>
    </dataValidation>
    <dataValidation type="list" sqref="C8" xr:uid="{00000000-0002-0000-0300-000010000000}">
      <formula1>INDIRECT("LISTS!$O$2:$O$11")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179</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400-000000000000}">
      <formula1>INDIRECT("LISTS!$B$2:$B$10")</formula1>
    </dataValidation>
    <dataValidation type="list" sqref="I2" xr:uid="{00000000-0002-0000-0400-000001000000}">
      <formula1>INDIRECT("LISTS!$C$2:$C$5")</formula1>
    </dataValidation>
    <dataValidation type="list" sqref="C3" xr:uid="{00000000-0002-0000-0400-000002000000}">
      <formula1>INDIRECT("LISTS!$D$2:$D$15")</formula1>
    </dataValidation>
    <dataValidation type="list" sqref="I3" xr:uid="{00000000-0002-0000-0400-000003000000}">
      <formula1>INDIRECT("LISTS!$E$2:$E$9")</formula1>
    </dataValidation>
    <dataValidation type="list" sqref="C4" xr:uid="{00000000-0002-0000-0400-000004000000}">
      <formula1>INDIRECT("LISTS!$F$2:$F$32")</formula1>
    </dataValidation>
    <dataValidation type="list" sqref="I4" xr:uid="{00000000-0002-0000-0400-000005000000}">
      <formula1>INDIRECT("LISTS!$G$2:$G$6")</formula1>
    </dataValidation>
    <dataValidation type="list" sqref="C5" xr:uid="{00000000-0002-0000-0400-000006000000}">
      <formula1>INDIRECT("LISTS!$H$2:$H$196")</formula1>
    </dataValidation>
    <dataValidation type="list" sqref="I5" xr:uid="{00000000-0002-0000-0400-000007000000}">
      <formula1>INDIRECT("LISTS!$K$2:$K$2")</formula1>
    </dataValidation>
    <dataValidation type="list" sqref="C6" xr:uid="{00000000-0002-0000-0400-000008000000}">
      <formula1>INDIRECT("LISTS!$A$2:$A$8")</formula1>
    </dataValidation>
    <dataValidation type="list" sqref="C7" xr:uid="{00000000-0002-0000-0400-000009000000}">
      <formula1>INDIRECT("LISTS!$N$2:$N$36")</formula1>
    </dataValidation>
    <dataValidation type="list" sqref="B24 J24 F24:H24 D24" xr:uid="{00000000-0002-0000-0400-00000A000000}">
      <formula1>INDIRECT("LISTS!$J$2:$J$5")</formula1>
    </dataValidation>
    <dataValidation type="list" sqref="A12:D12" xr:uid="{00000000-0002-0000-0400-00000F000000}">
      <formula1>INDIRECT("LISTS!$I$2:$I$18")</formula1>
    </dataValidation>
    <dataValidation type="list" sqref="C8" xr:uid="{00000000-0002-0000-0400-000010000000}">
      <formula1>INDIRECT("LISTS!$O$2:$O$11")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180</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500-000000000000}">
      <formula1>INDIRECT("LISTS!$B$2:$B$10")</formula1>
    </dataValidation>
    <dataValidation type="list" sqref="I2" xr:uid="{00000000-0002-0000-0500-000001000000}">
      <formula1>INDIRECT("LISTS!$C$2:$C$5")</formula1>
    </dataValidation>
    <dataValidation type="list" sqref="C3" xr:uid="{00000000-0002-0000-0500-000002000000}">
      <formula1>INDIRECT("LISTS!$D$2:$D$15")</formula1>
    </dataValidation>
    <dataValidation type="list" sqref="I3" xr:uid="{00000000-0002-0000-0500-000003000000}">
      <formula1>INDIRECT("LISTS!$E$2:$E$9")</formula1>
    </dataValidation>
    <dataValidation type="list" sqref="C4" xr:uid="{00000000-0002-0000-0500-000004000000}">
      <formula1>INDIRECT("LISTS!$F$2:$F$32")</formula1>
    </dataValidation>
    <dataValidation type="list" sqref="I4" xr:uid="{00000000-0002-0000-0500-000005000000}">
      <formula1>INDIRECT("LISTS!$G$2:$G$6")</formula1>
    </dataValidation>
    <dataValidation type="list" sqref="C5" xr:uid="{00000000-0002-0000-0500-000006000000}">
      <formula1>INDIRECT("LISTS!$H$2:$H$196")</formula1>
    </dataValidation>
    <dataValidation type="list" sqref="I5" xr:uid="{00000000-0002-0000-0500-000007000000}">
      <formula1>INDIRECT("LISTS!$K$2:$K$2")</formula1>
    </dataValidation>
    <dataValidation type="list" sqref="C6" xr:uid="{00000000-0002-0000-0500-000008000000}">
      <formula1>INDIRECT("LISTS!$A$2:$A$8")</formula1>
    </dataValidation>
    <dataValidation type="list" sqref="C7" xr:uid="{00000000-0002-0000-0500-000009000000}">
      <formula1>INDIRECT("LISTS!$N$2:$N$36")</formula1>
    </dataValidation>
    <dataValidation type="list" sqref="B24 J24 F24:H24 D24" xr:uid="{00000000-0002-0000-0500-00000A000000}">
      <formula1>INDIRECT("LISTS!$J$2:$J$5")</formula1>
    </dataValidation>
    <dataValidation type="list" sqref="A12:D12" xr:uid="{00000000-0002-0000-0500-00000F000000}">
      <formula1>INDIRECT("LISTS!$I$2:$I$18")</formula1>
    </dataValidation>
    <dataValidation type="list" sqref="C8" xr:uid="{00000000-0002-0000-0500-000010000000}">
      <formula1>INDIRECT("LISTS!$O$2:$O$11")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181</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600-000000000000}">
      <formula1>INDIRECT("LISTS!$B$2:$B$10")</formula1>
    </dataValidation>
    <dataValidation type="list" sqref="I2" xr:uid="{00000000-0002-0000-0600-000001000000}">
      <formula1>INDIRECT("LISTS!$C$2:$C$5")</formula1>
    </dataValidation>
    <dataValidation type="list" sqref="C3" xr:uid="{00000000-0002-0000-0600-000002000000}">
      <formula1>INDIRECT("LISTS!$D$2:$D$15")</formula1>
    </dataValidation>
    <dataValidation type="list" sqref="I3" xr:uid="{00000000-0002-0000-0600-000003000000}">
      <formula1>INDIRECT("LISTS!$E$2:$E$9")</formula1>
    </dataValidation>
    <dataValidation type="list" sqref="C4" xr:uid="{00000000-0002-0000-0600-000004000000}">
      <formula1>INDIRECT("LISTS!$F$2:$F$32")</formula1>
    </dataValidation>
    <dataValidation type="list" sqref="I4" xr:uid="{00000000-0002-0000-0600-000005000000}">
      <formula1>INDIRECT("LISTS!$G$2:$G$6")</formula1>
    </dataValidation>
    <dataValidation type="list" sqref="C5" xr:uid="{00000000-0002-0000-0600-000006000000}">
      <formula1>INDIRECT("LISTS!$H$2:$H$196")</formula1>
    </dataValidation>
    <dataValidation type="list" sqref="I5" xr:uid="{00000000-0002-0000-0600-000007000000}">
      <formula1>INDIRECT("LISTS!$K$2:$K$2")</formula1>
    </dataValidation>
    <dataValidation type="list" sqref="C6" xr:uid="{00000000-0002-0000-0600-000008000000}">
      <formula1>INDIRECT("LISTS!$A$2:$A$8")</formula1>
    </dataValidation>
    <dataValidation type="list" sqref="C7" xr:uid="{00000000-0002-0000-0600-000009000000}">
      <formula1>INDIRECT("LISTS!$N$2:$N$36")</formula1>
    </dataValidation>
    <dataValidation type="list" sqref="B24 J24 F24:H24 D24" xr:uid="{00000000-0002-0000-0600-00000A000000}">
      <formula1>INDIRECT("LISTS!$J$2:$J$5")</formula1>
    </dataValidation>
    <dataValidation type="list" sqref="A12:D12" xr:uid="{00000000-0002-0000-0600-00000F000000}">
      <formula1>INDIRECT("LISTS!$I$2:$I$18")</formula1>
    </dataValidation>
    <dataValidation type="list" sqref="C8" xr:uid="{00000000-0002-0000-0600-000010000000}">
      <formula1>INDIRECT("LISTS!$O$2:$O$11")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182</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700-000000000000}">
      <formula1>INDIRECT("LISTS!$B$2:$B$10")</formula1>
    </dataValidation>
    <dataValidation type="list" sqref="I2" xr:uid="{00000000-0002-0000-0700-000001000000}">
      <formula1>INDIRECT("LISTS!$C$2:$C$5")</formula1>
    </dataValidation>
    <dataValidation type="list" sqref="C3" xr:uid="{00000000-0002-0000-0700-000002000000}">
      <formula1>INDIRECT("LISTS!$D$2:$D$15")</formula1>
    </dataValidation>
    <dataValidation type="list" sqref="I3" xr:uid="{00000000-0002-0000-0700-000003000000}">
      <formula1>INDIRECT("LISTS!$E$2:$E$9")</formula1>
    </dataValidation>
    <dataValidation type="list" sqref="C4" xr:uid="{00000000-0002-0000-0700-000004000000}">
      <formula1>INDIRECT("LISTS!$F$2:$F$32")</formula1>
    </dataValidation>
    <dataValidation type="list" sqref="I4" xr:uid="{00000000-0002-0000-0700-000005000000}">
      <formula1>INDIRECT("LISTS!$G$2:$G$6")</formula1>
    </dataValidation>
    <dataValidation type="list" sqref="C5" xr:uid="{00000000-0002-0000-0700-000006000000}">
      <formula1>INDIRECT("LISTS!$H$2:$H$196")</formula1>
    </dataValidation>
    <dataValidation type="list" sqref="I5" xr:uid="{00000000-0002-0000-0700-000007000000}">
      <formula1>INDIRECT("LISTS!$K$2:$K$2")</formula1>
    </dataValidation>
    <dataValidation type="list" sqref="C6" xr:uid="{00000000-0002-0000-0700-000008000000}">
      <formula1>INDIRECT("LISTS!$A$2:$A$8")</formula1>
    </dataValidation>
    <dataValidation type="list" sqref="C7" xr:uid="{00000000-0002-0000-0700-000009000000}">
      <formula1>INDIRECT("LISTS!$N$2:$N$36")</formula1>
    </dataValidation>
    <dataValidation type="list" sqref="B24 J24 F24:H24 D24" xr:uid="{00000000-0002-0000-0700-00000A000000}">
      <formula1>INDIRECT("LISTS!$J$2:$J$5")</formula1>
    </dataValidation>
    <dataValidation type="list" sqref="A12:D12" xr:uid="{00000000-0002-0000-0700-00000F000000}">
      <formula1>INDIRECT("LISTS!$I$2:$I$18")</formula1>
    </dataValidation>
    <dataValidation type="list" sqref="C8" xr:uid="{00000000-0002-0000-0700-000010000000}">
      <formula1>INDIRECT("LISTS!$O$2:$O$11")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183</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800-000000000000}">
      <formula1>INDIRECT("LISTS!$B$2:$B$10")</formula1>
    </dataValidation>
    <dataValidation type="list" sqref="I2" xr:uid="{00000000-0002-0000-0800-000001000000}">
      <formula1>INDIRECT("LISTS!$C$2:$C$5")</formula1>
    </dataValidation>
    <dataValidation type="list" sqref="C3" xr:uid="{00000000-0002-0000-0800-000002000000}">
      <formula1>INDIRECT("LISTS!$D$2:$D$15")</formula1>
    </dataValidation>
    <dataValidation type="list" sqref="I3" xr:uid="{00000000-0002-0000-0800-000003000000}">
      <formula1>INDIRECT("LISTS!$E$2:$E$9")</formula1>
    </dataValidation>
    <dataValidation type="list" sqref="C4" xr:uid="{00000000-0002-0000-0800-000004000000}">
      <formula1>INDIRECT("LISTS!$F$2:$F$32")</formula1>
    </dataValidation>
    <dataValidation type="list" sqref="I4" xr:uid="{00000000-0002-0000-0800-000005000000}">
      <formula1>INDIRECT("LISTS!$G$2:$G$6")</formula1>
    </dataValidation>
    <dataValidation type="list" sqref="C5" xr:uid="{00000000-0002-0000-0800-000006000000}">
      <formula1>INDIRECT("LISTS!$H$2:$H$196")</formula1>
    </dataValidation>
    <dataValidation type="list" sqref="I5" xr:uid="{00000000-0002-0000-0800-000007000000}">
      <formula1>INDIRECT("LISTS!$K$2:$K$2")</formula1>
    </dataValidation>
    <dataValidation type="list" sqref="C6" xr:uid="{00000000-0002-0000-0800-000008000000}">
      <formula1>INDIRECT("LISTS!$A$2:$A$8")</formula1>
    </dataValidation>
    <dataValidation type="list" sqref="C7" xr:uid="{00000000-0002-0000-0800-000009000000}">
      <formula1>INDIRECT("LISTS!$N$2:$N$36")</formula1>
    </dataValidation>
    <dataValidation type="list" sqref="B24 J24 F24:H24 D24" xr:uid="{00000000-0002-0000-0800-00000A000000}">
      <formula1>INDIRECT("LISTS!$J$2:$J$5")</formula1>
    </dataValidation>
    <dataValidation type="list" sqref="A12:D12" xr:uid="{00000000-0002-0000-0800-00000F000000}">
      <formula1>INDIRECT("LISTS!$I$2:$I$18")</formula1>
    </dataValidation>
    <dataValidation type="list" sqref="C8" xr:uid="{00000000-0002-0000-0800-000010000000}">
      <formula1>INDIRECT("LISTS!$O$2:$O$11")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184</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900-000000000000}">
      <formula1>INDIRECT("LISTS!$B$2:$B$10")</formula1>
    </dataValidation>
    <dataValidation type="list" sqref="I2" xr:uid="{00000000-0002-0000-0900-000001000000}">
      <formula1>INDIRECT("LISTS!$C$2:$C$5")</formula1>
    </dataValidation>
    <dataValidation type="list" sqref="C3" xr:uid="{00000000-0002-0000-0900-000002000000}">
      <formula1>INDIRECT("LISTS!$D$2:$D$15")</formula1>
    </dataValidation>
    <dataValidation type="list" sqref="I3" xr:uid="{00000000-0002-0000-0900-000003000000}">
      <formula1>INDIRECT("LISTS!$E$2:$E$9")</formula1>
    </dataValidation>
    <dataValidation type="list" sqref="C4" xr:uid="{00000000-0002-0000-0900-000004000000}">
      <formula1>INDIRECT("LISTS!$F$2:$F$32")</formula1>
    </dataValidation>
    <dataValidation type="list" sqref="I4" xr:uid="{00000000-0002-0000-0900-000005000000}">
      <formula1>INDIRECT("LISTS!$G$2:$G$6")</formula1>
    </dataValidation>
    <dataValidation type="list" sqref="C5" xr:uid="{00000000-0002-0000-0900-000006000000}">
      <formula1>INDIRECT("LISTS!$H$2:$H$196")</formula1>
    </dataValidation>
    <dataValidation type="list" sqref="I5" xr:uid="{00000000-0002-0000-0900-000007000000}">
      <formula1>INDIRECT("LISTS!$K$2:$K$2")</formula1>
    </dataValidation>
    <dataValidation type="list" sqref="C6" xr:uid="{00000000-0002-0000-0900-000008000000}">
      <formula1>INDIRECT("LISTS!$A$2:$A$8")</formula1>
    </dataValidation>
    <dataValidation type="list" sqref="C7" xr:uid="{00000000-0002-0000-0900-000009000000}">
      <formula1>INDIRECT("LISTS!$N$2:$N$36")</formula1>
    </dataValidation>
    <dataValidation type="list" sqref="B24 J24 F24:H24 D24" xr:uid="{00000000-0002-0000-0900-00000A000000}">
      <formula1>INDIRECT("LISTS!$J$2:$J$5")</formula1>
    </dataValidation>
    <dataValidation type="list" sqref="A12:D12" xr:uid="{00000000-0002-0000-0900-00000F000000}">
      <formula1>INDIRECT("LISTS!$I$2:$I$18")</formula1>
    </dataValidation>
    <dataValidation type="list" sqref="C8" xr:uid="{00000000-0002-0000-0900-000010000000}">
      <formula1>INDIRECT("LISTS!$O$2:$O$11")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185</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A00-000000000000}">
      <formula1>INDIRECT("LISTS!$B$2:$B$10")</formula1>
    </dataValidation>
    <dataValidation type="list" sqref="I2" xr:uid="{00000000-0002-0000-0A00-000001000000}">
      <formula1>INDIRECT("LISTS!$C$2:$C$5")</formula1>
    </dataValidation>
    <dataValidation type="list" sqref="C3" xr:uid="{00000000-0002-0000-0A00-000002000000}">
      <formula1>INDIRECT("LISTS!$D$2:$D$15")</formula1>
    </dataValidation>
    <dataValidation type="list" sqref="I3" xr:uid="{00000000-0002-0000-0A00-000003000000}">
      <formula1>INDIRECT("LISTS!$E$2:$E$9")</formula1>
    </dataValidation>
    <dataValidation type="list" sqref="C4" xr:uid="{00000000-0002-0000-0A00-000004000000}">
      <formula1>INDIRECT("LISTS!$F$2:$F$32")</formula1>
    </dataValidation>
    <dataValidation type="list" sqref="I4" xr:uid="{00000000-0002-0000-0A00-000005000000}">
      <formula1>INDIRECT("LISTS!$G$2:$G$6")</formula1>
    </dataValidation>
    <dataValidation type="list" sqref="C5" xr:uid="{00000000-0002-0000-0A00-000006000000}">
      <formula1>INDIRECT("LISTS!$H$2:$H$196")</formula1>
    </dataValidation>
    <dataValidation type="list" sqref="I5" xr:uid="{00000000-0002-0000-0A00-000007000000}">
      <formula1>INDIRECT("LISTS!$K$2:$K$2")</formula1>
    </dataValidation>
    <dataValidation type="list" sqref="C6" xr:uid="{00000000-0002-0000-0A00-000008000000}">
      <formula1>INDIRECT("LISTS!$A$2:$A$8")</formula1>
    </dataValidation>
    <dataValidation type="list" sqref="C7" xr:uid="{00000000-0002-0000-0A00-000009000000}">
      <formula1>INDIRECT("LISTS!$N$2:$N$36")</formula1>
    </dataValidation>
    <dataValidation type="list" sqref="B24 J24 F24:H24 D24" xr:uid="{00000000-0002-0000-0A00-00000A000000}">
      <formula1>INDIRECT("LISTS!$J$2:$J$5")</formula1>
    </dataValidation>
    <dataValidation type="list" sqref="A12:D12" xr:uid="{00000000-0002-0000-0A00-00000F000000}">
      <formula1>INDIRECT("LISTS!$I$2:$I$18")</formula1>
    </dataValidation>
    <dataValidation type="list" sqref="C8" xr:uid="{00000000-0002-0000-0A00-000010000000}">
      <formula1>INDIRECT("LISTS!$O$2:$O$11")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186</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B00-000000000000}">
      <formula1>INDIRECT("LISTS!$B$2:$B$10")</formula1>
    </dataValidation>
    <dataValidation type="list" sqref="I2" xr:uid="{00000000-0002-0000-0B00-000001000000}">
      <formula1>INDIRECT("LISTS!$C$2:$C$5")</formula1>
    </dataValidation>
    <dataValidation type="list" sqref="C3" xr:uid="{00000000-0002-0000-0B00-000002000000}">
      <formula1>INDIRECT("LISTS!$D$2:$D$15")</formula1>
    </dataValidation>
    <dataValidation type="list" sqref="I3" xr:uid="{00000000-0002-0000-0B00-000003000000}">
      <formula1>INDIRECT("LISTS!$E$2:$E$9")</formula1>
    </dataValidation>
    <dataValidation type="list" sqref="C4" xr:uid="{00000000-0002-0000-0B00-000004000000}">
      <formula1>INDIRECT("LISTS!$F$2:$F$32")</formula1>
    </dataValidation>
    <dataValidation type="list" sqref="I4" xr:uid="{00000000-0002-0000-0B00-000005000000}">
      <formula1>INDIRECT("LISTS!$G$2:$G$6")</formula1>
    </dataValidation>
    <dataValidation type="list" sqref="C5" xr:uid="{00000000-0002-0000-0B00-000006000000}">
      <formula1>INDIRECT("LISTS!$H$2:$H$196")</formula1>
    </dataValidation>
    <dataValidation type="list" sqref="I5" xr:uid="{00000000-0002-0000-0B00-000007000000}">
      <formula1>INDIRECT("LISTS!$K$2:$K$2")</formula1>
    </dataValidation>
    <dataValidation type="list" sqref="C6" xr:uid="{00000000-0002-0000-0B00-000008000000}">
      <formula1>INDIRECT("LISTS!$A$2:$A$8")</formula1>
    </dataValidation>
    <dataValidation type="list" sqref="C7" xr:uid="{00000000-0002-0000-0B00-000009000000}">
      <formula1>INDIRECT("LISTS!$N$2:$N$36")</formula1>
    </dataValidation>
    <dataValidation type="list" sqref="B24 J24 F24:H24 D24" xr:uid="{00000000-0002-0000-0B00-00000A000000}">
      <formula1>INDIRECT("LISTS!$J$2:$J$5")</formula1>
    </dataValidation>
    <dataValidation type="list" sqref="A12:D12" xr:uid="{00000000-0002-0000-0B00-00000F000000}">
      <formula1>INDIRECT("LISTS!$I$2:$I$18")</formula1>
    </dataValidation>
    <dataValidation type="list" sqref="C8" xr:uid="{00000000-0002-0000-0B00-000010000000}">
      <formula1>INDIRECT("LISTS!$O$2:$O$11")</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187</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C00-000000000000}">
      <formula1>INDIRECT("LISTS!$B$2:$B$10")</formula1>
    </dataValidation>
    <dataValidation type="list" sqref="I2" xr:uid="{00000000-0002-0000-0C00-000001000000}">
      <formula1>INDIRECT("LISTS!$C$2:$C$5")</formula1>
    </dataValidation>
    <dataValidation type="list" sqref="C3" xr:uid="{00000000-0002-0000-0C00-000002000000}">
      <formula1>INDIRECT("LISTS!$D$2:$D$15")</formula1>
    </dataValidation>
    <dataValidation type="list" sqref="I3" xr:uid="{00000000-0002-0000-0C00-000003000000}">
      <formula1>INDIRECT("LISTS!$E$2:$E$9")</formula1>
    </dataValidation>
    <dataValidation type="list" sqref="C4" xr:uid="{00000000-0002-0000-0C00-000004000000}">
      <formula1>INDIRECT("LISTS!$F$2:$F$32")</formula1>
    </dataValidation>
    <dataValidation type="list" sqref="I4" xr:uid="{00000000-0002-0000-0C00-000005000000}">
      <formula1>INDIRECT("LISTS!$G$2:$G$6")</formula1>
    </dataValidation>
    <dataValidation type="list" sqref="C5" xr:uid="{00000000-0002-0000-0C00-000006000000}">
      <formula1>INDIRECT("LISTS!$H$2:$H$196")</formula1>
    </dataValidation>
    <dataValidation type="list" sqref="I5" xr:uid="{00000000-0002-0000-0C00-000007000000}">
      <formula1>INDIRECT("LISTS!$K$2:$K$2")</formula1>
    </dataValidation>
    <dataValidation type="list" sqref="C6" xr:uid="{00000000-0002-0000-0C00-000008000000}">
      <formula1>INDIRECT("LISTS!$A$2:$A$8")</formula1>
    </dataValidation>
    <dataValidation type="list" sqref="C7" xr:uid="{00000000-0002-0000-0C00-000009000000}">
      <formula1>INDIRECT("LISTS!$N$2:$N$36")</formula1>
    </dataValidation>
    <dataValidation type="list" sqref="B24 J24 F24:H24 D24" xr:uid="{00000000-0002-0000-0C00-00000A000000}">
      <formula1>INDIRECT("LISTS!$J$2:$J$5")</formula1>
    </dataValidation>
    <dataValidation type="list" sqref="A12:D12" xr:uid="{00000000-0002-0000-0C00-00000F000000}">
      <formula1>INDIRECT("LISTS!$I$2:$I$18")</formula1>
    </dataValidation>
    <dataValidation type="list" sqref="C8" xr:uid="{00000000-0002-0000-0C00-000010000000}">
      <formula1>INDIRECT("LISTS!$O$2:$O$11")</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188</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D00-000000000000}">
      <formula1>INDIRECT("LISTS!$B$2:$B$10")</formula1>
    </dataValidation>
    <dataValidation type="list" sqref="I2" xr:uid="{00000000-0002-0000-0D00-000001000000}">
      <formula1>INDIRECT("LISTS!$C$2:$C$5")</formula1>
    </dataValidation>
    <dataValidation type="list" sqref="C3" xr:uid="{00000000-0002-0000-0D00-000002000000}">
      <formula1>INDIRECT("LISTS!$D$2:$D$15")</formula1>
    </dataValidation>
    <dataValidation type="list" sqref="I3" xr:uid="{00000000-0002-0000-0D00-000003000000}">
      <formula1>INDIRECT("LISTS!$E$2:$E$9")</formula1>
    </dataValidation>
    <dataValidation type="list" sqref="C4" xr:uid="{00000000-0002-0000-0D00-000004000000}">
      <formula1>INDIRECT("LISTS!$F$2:$F$32")</formula1>
    </dataValidation>
    <dataValidation type="list" sqref="I4" xr:uid="{00000000-0002-0000-0D00-000005000000}">
      <formula1>INDIRECT("LISTS!$G$2:$G$6")</formula1>
    </dataValidation>
    <dataValidation type="list" sqref="C5" xr:uid="{00000000-0002-0000-0D00-000006000000}">
      <formula1>INDIRECT("LISTS!$H$2:$H$196")</formula1>
    </dataValidation>
    <dataValidation type="list" sqref="I5" xr:uid="{00000000-0002-0000-0D00-000007000000}">
      <formula1>INDIRECT("LISTS!$K$2:$K$2")</formula1>
    </dataValidation>
    <dataValidation type="list" sqref="C6" xr:uid="{00000000-0002-0000-0D00-000008000000}">
      <formula1>INDIRECT("LISTS!$A$2:$A$8")</formula1>
    </dataValidation>
    <dataValidation type="list" sqref="C7" xr:uid="{00000000-0002-0000-0D00-000009000000}">
      <formula1>INDIRECT("LISTS!$N$2:$N$36")</formula1>
    </dataValidation>
    <dataValidation type="list" sqref="B24 J24 F24:H24 D24" xr:uid="{00000000-0002-0000-0D00-00000A000000}">
      <formula1>INDIRECT("LISTS!$J$2:$J$5")</formula1>
    </dataValidation>
    <dataValidation type="list" sqref="A12:D12" xr:uid="{00000000-0002-0000-0D00-00000F000000}">
      <formula1>INDIRECT("LISTS!$I$2:$I$18")</formula1>
    </dataValidation>
    <dataValidation type="list" sqref="C8" xr:uid="{00000000-0002-0000-0D00-000010000000}">
      <formula1>INDIRECT("LISTS!$O$2:$O$11")</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189</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E00-000000000000}">
      <formula1>INDIRECT("LISTS!$B$2:$B$10")</formula1>
    </dataValidation>
    <dataValidation type="list" sqref="I2" xr:uid="{00000000-0002-0000-0E00-000001000000}">
      <formula1>INDIRECT("LISTS!$C$2:$C$5")</formula1>
    </dataValidation>
    <dataValidation type="list" sqref="C3" xr:uid="{00000000-0002-0000-0E00-000002000000}">
      <formula1>INDIRECT("LISTS!$D$2:$D$15")</formula1>
    </dataValidation>
    <dataValidation type="list" sqref="I3" xr:uid="{00000000-0002-0000-0E00-000003000000}">
      <formula1>INDIRECT("LISTS!$E$2:$E$9")</formula1>
    </dataValidation>
    <dataValidation type="list" sqref="C4" xr:uid="{00000000-0002-0000-0E00-000004000000}">
      <formula1>INDIRECT("LISTS!$F$2:$F$32")</formula1>
    </dataValidation>
    <dataValidation type="list" sqref="I4" xr:uid="{00000000-0002-0000-0E00-000005000000}">
      <formula1>INDIRECT("LISTS!$G$2:$G$6")</formula1>
    </dataValidation>
    <dataValidation type="list" sqref="C5" xr:uid="{00000000-0002-0000-0E00-000006000000}">
      <formula1>INDIRECT("LISTS!$H$2:$H$196")</formula1>
    </dataValidation>
    <dataValidation type="list" sqref="I5" xr:uid="{00000000-0002-0000-0E00-000007000000}">
      <formula1>INDIRECT("LISTS!$K$2:$K$2")</formula1>
    </dataValidation>
    <dataValidation type="list" sqref="C6" xr:uid="{00000000-0002-0000-0E00-000008000000}">
      <formula1>INDIRECT("LISTS!$A$2:$A$8")</formula1>
    </dataValidation>
    <dataValidation type="list" sqref="C7" xr:uid="{00000000-0002-0000-0E00-000009000000}">
      <formula1>INDIRECT("LISTS!$N$2:$N$36")</formula1>
    </dataValidation>
    <dataValidation type="list" sqref="B24 J24 F24:H24 D24" xr:uid="{00000000-0002-0000-0E00-00000A000000}">
      <formula1>INDIRECT("LISTS!$J$2:$J$5")</formula1>
    </dataValidation>
    <dataValidation type="list" sqref="A12:D12" xr:uid="{00000000-0002-0000-0E00-00000F000000}">
      <formula1>INDIRECT("LISTS!$I$2:$I$18")</formula1>
    </dataValidation>
    <dataValidation type="list" sqref="C8" xr:uid="{00000000-0002-0000-0E00-000010000000}">
      <formula1>INDIRECT("LISTS!$O$2:$O$11")</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190</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0F00-000000000000}">
      <formula1>INDIRECT("LISTS!$B$2:$B$10")</formula1>
    </dataValidation>
    <dataValidation type="list" sqref="I2" xr:uid="{00000000-0002-0000-0F00-000001000000}">
      <formula1>INDIRECT("LISTS!$C$2:$C$5")</formula1>
    </dataValidation>
    <dataValidation type="list" sqref="C3" xr:uid="{00000000-0002-0000-0F00-000002000000}">
      <formula1>INDIRECT("LISTS!$D$2:$D$15")</formula1>
    </dataValidation>
    <dataValidation type="list" sqref="I3" xr:uid="{00000000-0002-0000-0F00-000003000000}">
      <formula1>INDIRECT("LISTS!$E$2:$E$9")</formula1>
    </dataValidation>
    <dataValidation type="list" sqref="C4" xr:uid="{00000000-0002-0000-0F00-000004000000}">
      <formula1>INDIRECT("LISTS!$F$2:$F$32")</formula1>
    </dataValidation>
    <dataValidation type="list" sqref="I4" xr:uid="{00000000-0002-0000-0F00-000005000000}">
      <formula1>INDIRECT("LISTS!$G$2:$G$6")</formula1>
    </dataValidation>
    <dataValidation type="list" sqref="C5" xr:uid="{00000000-0002-0000-0F00-000006000000}">
      <formula1>INDIRECT("LISTS!$H$2:$H$196")</formula1>
    </dataValidation>
    <dataValidation type="list" sqref="I5" xr:uid="{00000000-0002-0000-0F00-000007000000}">
      <formula1>INDIRECT("LISTS!$K$2:$K$2")</formula1>
    </dataValidation>
    <dataValidation type="list" sqref="C6" xr:uid="{00000000-0002-0000-0F00-000008000000}">
      <formula1>INDIRECT("LISTS!$A$2:$A$8")</formula1>
    </dataValidation>
    <dataValidation type="list" sqref="C7" xr:uid="{00000000-0002-0000-0F00-000009000000}">
      <formula1>INDIRECT("LISTS!$N$2:$N$36")</formula1>
    </dataValidation>
    <dataValidation type="list" sqref="B24 J24 F24:H24 D24" xr:uid="{00000000-0002-0000-0F00-00000A000000}">
      <formula1>INDIRECT("LISTS!$J$2:$J$5")</formula1>
    </dataValidation>
    <dataValidation type="list" sqref="A12:D12" xr:uid="{00000000-0002-0000-0F00-00000F000000}">
      <formula1>INDIRECT("LISTS!$I$2:$I$18")</formula1>
    </dataValidation>
    <dataValidation type="list" sqref="C8" xr:uid="{00000000-0002-0000-0F00-000010000000}">
      <formula1>INDIRECT("LISTS!$O$2:$O$11")</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191</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000-000000000000}">
      <formula1>INDIRECT("LISTS!$B$2:$B$10")</formula1>
    </dataValidation>
    <dataValidation type="list" sqref="I2" xr:uid="{00000000-0002-0000-1000-000001000000}">
      <formula1>INDIRECT("LISTS!$C$2:$C$5")</formula1>
    </dataValidation>
    <dataValidation type="list" sqref="C3" xr:uid="{00000000-0002-0000-1000-000002000000}">
      <formula1>INDIRECT("LISTS!$D$2:$D$15")</formula1>
    </dataValidation>
    <dataValidation type="list" sqref="I3" xr:uid="{00000000-0002-0000-1000-000003000000}">
      <formula1>INDIRECT("LISTS!$E$2:$E$9")</formula1>
    </dataValidation>
    <dataValidation type="list" sqref="C4" xr:uid="{00000000-0002-0000-1000-000004000000}">
      <formula1>INDIRECT("LISTS!$F$2:$F$32")</formula1>
    </dataValidation>
    <dataValidation type="list" sqref="I4" xr:uid="{00000000-0002-0000-1000-000005000000}">
      <formula1>INDIRECT("LISTS!$G$2:$G$6")</formula1>
    </dataValidation>
    <dataValidation type="list" sqref="C5" xr:uid="{00000000-0002-0000-1000-000006000000}">
      <formula1>INDIRECT("LISTS!$H$2:$H$196")</formula1>
    </dataValidation>
    <dataValidation type="list" sqref="I5" xr:uid="{00000000-0002-0000-1000-000007000000}">
      <formula1>INDIRECT("LISTS!$K$2:$K$2")</formula1>
    </dataValidation>
    <dataValidation type="list" sqref="C6" xr:uid="{00000000-0002-0000-1000-000008000000}">
      <formula1>INDIRECT("LISTS!$A$2:$A$8")</formula1>
    </dataValidation>
    <dataValidation type="list" sqref="C7" xr:uid="{00000000-0002-0000-1000-000009000000}">
      <formula1>INDIRECT("LISTS!$N$2:$N$36")</formula1>
    </dataValidation>
    <dataValidation type="list" sqref="B24 J24 F24:H24 D24" xr:uid="{00000000-0002-0000-1000-00000A000000}">
      <formula1>INDIRECT("LISTS!$J$2:$J$5")</formula1>
    </dataValidation>
    <dataValidation type="list" sqref="A12:D12" xr:uid="{00000000-0002-0000-1000-00000F000000}">
      <formula1>INDIRECT("LISTS!$I$2:$I$18")</formula1>
    </dataValidation>
    <dataValidation type="list" sqref="C8" xr:uid="{00000000-0002-0000-1000-000010000000}">
      <formula1>INDIRECT("LISTS!$O$2:$O$11")</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192</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100-000000000000}">
      <formula1>INDIRECT("LISTS!$B$2:$B$10")</formula1>
    </dataValidation>
    <dataValidation type="list" sqref="I2" xr:uid="{00000000-0002-0000-1100-000001000000}">
      <formula1>INDIRECT("LISTS!$C$2:$C$5")</formula1>
    </dataValidation>
    <dataValidation type="list" sqref="C3" xr:uid="{00000000-0002-0000-1100-000002000000}">
      <formula1>INDIRECT("LISTS!$D$2:$D$15")</formula1>
    </dataValidation>
    <dataValidation type="list" sqref="I3" xr:uid="{00000000-0002-0000-1100-000003000000}">
      <formula1>INDIRECT("LISTS!$E$2:$E$9")</formula1>
    </dataValidation>
    <dataValidation type="list" sqref="C4" xr:uid="{00000000-0002-0000-1100-000004000000}">
      <formula1>INDIRECT("LISTS!$F$2:$F$32")</formula1>
    </dataValidation>
    <dataValidation type="list" sqref="I4" xr:uid="{00000000-0002-0000-1100-000005000000}">
      <formula1>INDIRECT("LISTS!$G$2:$G$6")</formula1>
    </dataValidation>
    <dataValidation type="list" sqref="C5" xr:uid="{00000000-0002-0000-1100-000006000000}">
      <formula1>INDIRECT("LISTS!$H$2:$H$196")</formula1>
    </dataValidation>
    <dataValidation type="list" sqref="I5" xr:uid="{00000000-0002-0000-1100-000007000000}">
      <formula1>INDIRECT("LISTS!$K$2:$K$2")</formula1>
    </dataValidation>
    <dataValidation type="list" sqref="C6" xr:uid="{00000000-0002-0000-1100-000008000000}">
      <formula1>INDIRECT("LISTS!$A$2:$A$8")</formula1>
    </dataValidation>
    <dataValidation type="list" sqref="C7" xr:uid="{00000000-0002-0000-1100-000009000000}">
      <formula1>INDIRECT("LISTS!$N$2:$N$36")</formula1>
    </dataValidation>
    <dataValidation type="list" sqref="B24 J24 F24:H24 D24" xr:uid="{00000000-0002-0000-1100-00000A000000}">
      <formula1>INDIRECT("LISTS!$J$2:$J$5")</formula1>
    </dataValidation>
    <dataValidation type="list" sqref="A12:D12" xr:uid="{00000000-0002-0000-1100-00000F000000}">
      <formula1>INDIRECT("LISTS!$I$2:$I$18")</formula1>
    </dataValidation>
    <dataValidation type="list" sqref="C8" xr:uid="{00000000-0002-0000-1100-000010000000}">
      <formula1>INDIRECT("LISTS!$O$2:$O$11")</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193</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200-000000000000}">
      <formula1>INDIRECT("LISTS!$B$2:$B$10")</formula1>
    </dataValidation>
    <dataValidation type="list" sqref="I2" xr:uid="{00000000-0002-0000-1200-000001000000}">
      <formula1>INDIRECT("LISTS!$C$2:$C$5")</formula1>
    </dataValidation>
    <dataValidation type="list" sqref="C3" xr:uid="{00000000-0002-0000-1200-000002000000}">
      <formula1>INDIRECT("LISTS!$D$2:$D$15")</formula1>
    </dataValidation>
    <dataValidation type="list" sqref="I3" xr:uid="{00000000-0002-0000-1200-000003000000}">
      <formula1>INDIRECT("LISTS!$E$2:$E$9")</formula1>
    </dataValidation>
    <dataValidation type="list" sqref="C4" xr:uid="{00000000-0002-0000-1200-000004000000}">
      <formula1>INDIRECT("LISTS!$F$2:$F$32")</formula1>
    </dataValidation>
    <dataValidation type="list" sqref="I4" xr:uid="{00000000-0002-0000-1200-000005000000}">
      <formula1>INDIRECT("LISTS!$G$2:$G$6")</formula1>
    </dataValidation>
    <dataValidation type="list" sqref="C5" xr:uid="{00000000-0002-0000-1200-000006000000}">
      <formula1>INDIRECT("LISTS!$H$2:$H$196")</formula1>
    </dataValidation>
    <dataValidation type="list" sqref="I5" xr:uid="{00000000-0002-0000-1200-000007000000}">
      <formula1>INDIRECT("LISTS!$K$2:$K$2")</formula1>
    </dataValidation>
    <dataValidation type="list" sqref="C6" xr:uid="{00000000-0002-0000-1200-000008000000}">
      <formula1>INDIRECT("LISTS!$A$2:$A$8")</formula1>
    </dataValidation>
    <dataValidation type="list" sqref="C7" xr:uid="{00000000-0002-0000-1200-000009000000}">
      <formula1>INDIRECT("LISTS!$N$2:$N$36")</formula1>
    </dataValidation>
    <dataValidation type="list" sqref="B24 J24 F24:H24 D24" xr:uid="{00000000-0002-0000-1200-00000A000000}">
      <formula1>INDIRECT("LISTS!$J$2:$J$5")</formula1>
    </dataValidation>
    <dataValidation type="list" sqref="A12:D12" xr:uid="{00000000-0002-0000-1200-00000F000000}">
      <formula1>INDIRECT("LISTS!$I$2:$I$18")</formula1>
    </dataValidation>
    <dataValidation type="list" sqref="C8" xr:uid="{00000000-0002-0000-1200-000010000000}">
      <formula1>INDIRECT("LISTS!$O$2:$O$11")</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194</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300-000000000000}">
      <formula1>INDIRECT("LISTS!$B$2:$B$10")</formula1>
    </dataValidation>
    <dataValidation type="list" sqref="I2" xr:uid="{00000000-0002-0000-1300-000001000000}">
      <formula1>INDIRECT("LISTS!$C$2:$C$5")</formula1>
    </dataValidation>
    <dataValidation type="list" sqref="C3" xr:uid="{00000000-0002-0000-1300-000002000000}">
      <formula1>INDIRECT("LISTS!$D$2:$D$15")</formula1>
    </dataValidation>
    <dataValidation type="list" sqref="I3" xr:uid="{00000000-0002-0000-1300-000003000000}">
      <formula1>INDIRECT("LISTS!$E$2:$E$9")</formula1>
    </dataValidation>
    <dataValidation type="list" sqref="C4" xr:uid="{00000000-0002-0000-1300-000004000000}">
      <formula1>INDIRECT("LISTS!$F$2:$F$32")</formula1>
    </dataValidation>
    <dataValidation type="list" sqref="I4" xr:uid="{00000000-0002-0000-1300-000005000000}">
      <formula1>INDIRECT("LISTS!$G$2:$G$6")</formula1>
    </dataValidation>
    <dataValidation type="list" sqref="C5" xr:uid="{00000000-0002-0000-1300-000006000000}">
      <formula1>INDIRECT("LISTS!$H$2:$H$196")</formula1>
    </dataValidation>
    <dataValidation type="list" sqref="I5" xr:uid="{00000000-0002-0000-1300-000007000000}">
      <formula1>INDIRECT("LISTS!$K$2:$K$2")</formula1>
    </dataValidation>
    <dataValidation type="list" sqref="C6" xr:uid="{00000000-0002-0000-1300-000008000000}">
      <formula1>INDIRECT("LISTS!$A$2:$A$8")</formula1>
    </dataValidation>
    <dataValidation type="list" sqref="C7" xr:uid="{00000000-0002-0000-1300-000009000000}">
      <formula1>INDIRECT("LISTS!$N$2:$N$36")</formula1>
    </dataValidation>
    <dataValidation type="list" sqref="B24 J24 F24:H24 D24" xr:uid="{00000000-0002-0000-1300-00000A000000}">
      <formula1>INDIRECT("LISTS!$J$2:$J$5")</formula1>
    </dataValidation>
    <dataValidation type="list" sqref="A12:D12" xr:uid="{00000000-0002-0000-1300-00000F000000}">
      <formula1>INDIRECT("LISTS!$I$2:$I$18")</formula1>
    </dataValidation>
    <dataValidation type="list" sqref="C8" xr:uid="{00000000-0002-0000-1300-000010000000}">
      <formula1>INDIRECT("LISTS!$O$2:$O$11")</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195</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400-000000000000}">
      <formula1>INDIRECT("LISTS!$B$2:$B$10")</formula1>
    </dataValidation>
    <dataValidation type="list" sqref="I2" xr:uid="{00000000-0002-0000-1400-000001000000}">
      <formula1>INDIRECT("LISTS!$C$2:$C$5")</formula1>
    </dataValidation>
    <dataValidation type="list" sqref="C3" xr:uid="{00000000-0002-0000-1400-000002000000}">
      <formula1>INDIRECT("LISTS!$D$2:$D$15")</formula1>
    </dataValidation>
    <dataValidation type="list" sqref="I3" xr:uid="{00000000-0002-0000-1400-000003000000}">
      <formula1>INDIRECT("LISTS!$E$2:$E$9")</formula1>
    </dataValidation>
    <dataValidation type="list" sqref="C4" xr:uid="{00000000-0002-0000-1400-000004000000}">
      <formula1>INDIRECT("LISTS!$F$2:$F$32")</formula1>
    </dataValidation>
    <dataValidation type="list" sqref="I4" xr:uid="{00000000-0002-0000-1400-000005000000}">
      <formula1>INDIRECT("LISTS!$G$2:$G$6")</formula1>
    </dataValidation>
    <dataValidation type="list" sqref="C5" xr:uid="{00000000-0002-0000-1400-000006000000}">
      <formula1>INDIRECT("LISTS!$H$2:$H$196")</formula1>
    </dataValidation>
    <dataValidation type="list" sqref="I5" xr:uid="{00000000-0002-0000-1400-000007000000}">
      <formula1>INDIRECT("LISTS!$K$2:$K$2")</formula1>
    </dataValidation>
    <dataValidation type="list" sqref="C6" xr:uid="{00000000-0002-0000-1400-000008000000}">
      <formula1>INDIRECT("LISTS!$A$2:$A$8")</formula1>
    </dataValidation>
    <dataValidation type="list" sqref="C7" xr:uid="{00000000-0002-0000-1400-000009000000}">
      <formula1>INDIRECT("LISTS!$N$2:$N$36")</formula1>
    </dataValidation>
    <dataValidation type="list" sqref="B24 J24 F24:H24 D24" xr:uid="{00000000-0002-0000-1400-00000A000000}">
      <formula1>INDIRECT("LISTS!$J$2:$J$5")</formula1>
    </dataValidation>
    <dataValidation type="list" sqref="A12:D12" xr:uid="{00000000-0002-0000-1400-00000F000000}">
      <formula1>INDIRECT("LISTS!$I$2:$I$18")</formula1>
    </dataValidation>
    <dataValidation type="list" sqref="C8" xr:uid="{00000000-0002-0000-1400-000010000000}">
      <formula1>INDIRECT("LISTS!$O$2:$O$11")</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196</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500-000000000000}">
      <formula1>INDIRECT("LISTS!$B$2:$B$10")</formula1>
    </dataValidation>
    <dataValidation type="list" sqref="I2" xr:uid="{00000000-0002-0000-1500-000001000000}">
      <formula1>INDIRECT("LISTS!$C$2:$C$5")</formula1>
    </dataValidation>
    <dataValidation type="list" sqref="C3" xr:uid="{00000000-0002-0000-1500-000002000000}">
      <formula1>INDIRECT("LISTS!$D$2:$D$15")</formula1>
    </dataValidation>
    <dataValidation type="list" sqref="I3" xr:uid="{00000000-0002-0000-1500-000003000000}">
      <formula1>INDIRECT("LISTS!$E$2:$E$9")</formula1>
    </dataValidation>
    <dataValidation type="list" sqref="C4" xr:uid="{00000000-0002-0000-1500-000004000000}">
      <formula1>INDIRECT("LISTS!$F$2:$F$32")</formula1>
    </dataValidation>
    <dataValidation type="list" sqref="I4" xr:uid="{00000000-0002-0000-1500-000005000000}">
      <formula1>INDIRECT("LISTS!$G$2:$G$6")</formula1>
    </dataValidation>
    <dataValidation type="list" sqref="C5" xr:uid="{00000000-0002-0000-1500-000006000000}">
      <formula1>INDIRECT("LISTS!$H$2:$H$196")</formula1>
    </dataValidation>
    <dataValidation type="list" sqref="I5" xr:uid="{00000000-0002-0000-1500-000007000000}">
      <formula1>INDIRECT("LISTS!$K$2:$K$2")</formula1>
    </dataValidation>
    <dataValidation type="list" sqref="C6" xr:uid="{00000000-0002-0000-1500-000008000000}">
      <formula1>INDIRECT("LISTS!$A$2:$A$8")</formula1>
    </dataValidation>
    <dataValidation type="list" sqref="C7" xr:uid="{00000000-0002-0000-1500-000009000000}">
      <formula1>INDIRECT("LISTS!$N$2:$N$36")</formula1>
    </dataValidation>
    <dataValidation type="list" sqref="B24 J24 F24:H24 D24" xr:uid="{00000000-0002-0000-1500-00000A000000}">
      <formula1>INDIRECT("LISTS!$J$2:$J$5")</formula1>
    </dataValidation>
    <dataValidation type="list" sqref="A12:D12" xr:uid="{00000000-0002-0000-1500-00000F000000}">
      <formula1>INDIRECT("LISTS!$I$2:$I$18")</formula1>
    </dataValidation>
    <dataValidation type="list" sqref="C8" xr:uid="{00000000-0002-0000-1500-000010000000}">
      <formula1>INDIRECT("LISTS!$O$2:$O$11")</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197</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600-000000000000}">
      <formula1>INDIRECT("LISTS!$B$2:$B$10")</formula1>
    </dataValidation>
    <dataValidation type="list" sqref="I2" xr:uid="{00000000-0002-0000-1600-000001000000}">
      <formula1>INDIRECT("LISTS!$C$2:$C$5")</formula1>
    </dataValidation>
    <dataValidation type="list" sqref="C3" xr:uid="{00000000-0002-0000-1600-000002000000}">
      <formula1>INDIRECT("LISTS!$D$2:$D$15")</formula1>
    </dataValidation>
    <dataValidation type="list" sqref="I3" xr:uid="{00000000-0002-0000-1600-000003000000}">
      <formula1>INDIRECT("LISTS!$E$2:$E$9")</formula1>
    </dataValidation>
    <dataValidation type="list" sqref="C4" xr:uid="{00000000-0002-0000-1600-000004000000}">
      <formula1>INDIRECT("LISTS!$F$2:$F$32")</formula1>
    </dataValidation>
    <dataValidation type="list" sqref="I4" xr:uid="{00000000-0002-0000-1600-000005000000}">
      <formula1>INDIRECT("LISTS!$G$2:$G$6")</formula1>
    </dataValidation>
    <dataValidation type="list" sqref="C5" xr:uid="{00000000-0002-0000-1600-000006000000}">
      <formula1>INDIRECT("LISTS!$H$2:$H$196")</formula1>
    </dataValidation>
    <dataValidation type="list" sqref="I5" xr:uid="{00000000-0002-0000-1600-000007000000}">
      <formula1>INDIRECT("LISTS!$K$2:$K$2")</formula1>
    </dataValidation>
    <dataValidation type="list" sqref="C6" xr:uid="{00000000-0002-0000-1600-000008000000}">
      <formula1>INDIRECT("LISTS!$A$2:$A$8")</formula1>
    </dataValidation>
    <dataValidation type="list" sqref="C7" xr:uid="{00000000-0002-0000-1600-000009000000}">
      <formula1>INDIRECT("LISTS!$N$2:$N$36")</formula1>
    </dataValidation>
    <dataValidation type="list" sqref="B24 J24 F24:H24 D24" xr:uid="{00000000-0002-0000-1600-00000A000000}">
      <formula1>INDIRECT("LISTS!$J$2:$J$5")</formula1>
    </dataValidation>
    <dataValidation type="list" sqref="A12:D12" xr:uid="{00000000-0002-0000-1600-00000F000000}">
      <formula1>INDIRECT("LISTS!$I$2:$I$18")</formula1>
    </dataValidation>
    <dataValidation type="list" sqref="C8" xr:uid="{00000000-0002-0000-1600-000010000000}">
      <formula1>INDIRECT("LISTS!$O$2:$O$11")</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198</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700-000000000000}">
      <formula1>INDIRECT("LISTS!$B$2:$B$10")</formula1>
    </dataValidation>
    <dataValidation type="list" sqref="I2" xr:uid="{00000000-0002-0000-1700-000001000000}">
      <formula1>INDIRECT("LISTS!$C$2:$C$5")</formula1>
    </dataValidation>
    <dataValidation type="list" sqref="C3" xr:uid="{00000000-0002-0000-1700-000002000000}">
      <formula1>INDIRECT("LISTS!$D$2:$D$15")</formula1>
    </dataValidation>
    <dataValidation type="list" sqref="I3" xr:uid="{00000000-0002-0000-1700-000003000000}">
      <formula1>INDIRECT("LISTS!$E$2:$E$9")</formula1>
    </dataValidation>
    <dataValidation type="list" sqref="C4" xr:uid="{00000000-0002-0000-1700-000004000000}">
      <formula1>INDIRECT("LISTS!$F$2:$F$32")</formula1>
    </dataValidation>
    <dataValidation type="list" sqref="I4" xr:uid="{00000000-0002-0000-1700-000005000000}">
      <formula1>INDIRECT("LISTS!$G$2:$G$6")</formula1>
    </dataValidation>
    <dataValidation type="list" sqref="C5" xr:uid="{00000000-0002-0000-1700-000006000000}">
      <formula1>INDIRECT("LISTS!$H$2:$H$196")</formula1>
    </dataValidation>
    <dataValidation type="list" sqref="I5" xr:uid="{00000000-0002-0000-1700-000007000000}">
      <formula1>INDIRECT("LISTS!$K$2:$K$2")</formula1>
    </dataValidation>
    <dataValidation type="list" sqref="C6" xr:uid="{00000000-0002-0000-1700-000008000000}">
      <formula1>INDIRECT("LISTS!$A$2:$A$8")</formula1>
    </dataValidation>
    <dataValidation type="list" sqref="C7" xr:uid="{00000000-0002-0000-1700-000009000000}">
      <formula1>INDIRECT("LISTS!$N$2:$N$36")</formula1>
    </dataValidation>
    <dataValidation type="list" sqref="B24 J24 F24:H24 D24" xr:uid="{00000000-0002-0000-1700-00000A000000}">
      <formula1>INDIRECT("LISTS!$J$2:$J$5")</formula1>
    </dataValidation>
    <dataValidation type="list" sqref="A12:D12" xr:uid="{00000000-0002-0000-1700-00000F000000}">
      <formula1>INDIRECT("LISTS!$I$2:$I$18")</formula1>
    </dataValidation>
    <dataValidation type="list" sqref="C8" xr:uid="{00000000-0002-0000-1700-000010000000}">
      <formula1>INDIRECT("LISTS!$O$2:$O$11")</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199</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800-000000000000}">
      <formula1>INDIRECT("LISTS!$B$2:$B$10")</formula1>
    </dataValidation>
    <dataValidation type="list" sqref="I2" xr:uid="{00000000-0002-0000-1800-000001000000}">
      <formula1>INDIRECT("LISTS!$C$2:$C$5")</formula1>
    </dataValidation>
    <dataValidation type="list" sqref="C3" xr:uid="{00000000-0002-0000-1800-000002000000}">
      <formula1>INDIRECT("LISTS!$D$2:$D$15")</formula1>
    </dataValidation>
    <dataValidation type="list" sqref="I3" xr:uid="{00000000-0002-0000-1800-000003000000}">
      <formula1>INDIRECT("LISTS!$E$2:$E$9")</formula1>
    </dataValidation>
    <dataValidation type="list" sqref="C4" xr:uid="{00000000-0002-0000-1800-000004000000}">
      <formula1>INDIRECT("LISTS!$F$2:$F$32")</formula1>
    </dataValidation>
    <dataValidation type="list" sqref="I4" xr:uid="{00000000-0002-0000-1800-000005000000}">
      <formula1>INDIRECT("LISTS!$G$2:$G$6")</formula1>
    </dataValidation>
    <dataValidation type="list" sqref="C5" xr:uid="{00000000-0002-0000-1800-000006000000}">
      <formula1>INDIRECT("LISTS!$H$2:$H$196")</formula1>
    </dataValidation>
    <dataValidation type="list" sqref="I5" xr:uid="{00000000-0002-0000-1800-000007000000}">
      <formula1>INDIRECT("LISTS!$K$2:$K$2")</formula1>
    </dataValidation>
    <dataValidation type="list" sqref="C6" xr:uid="{00000000-0002-0000-1800-000008000000}">
      <formula1>INDIRECT("LISTS!$A$2:$A$8")</formula1>
    </dataValidation>
    <dataValidation type="list" sqref="C7" xr:uid="{00000000-0002-0000-1800-000009000000}">
      <formula1>INDIRECT("LISTS!$N$2:$N$36")</formula1>
    </dataValidation>
    <dataValidation type="list" sqref="B24 J24 F24:H24 D24" xr:uid="{00000000-0002-0000-1800-00000A000000}">
      <formula1>INDIRECT("LISTS!$J$2:$J$5")</formula1>
    </dataValidation>
    <dataValidation type="list" sqref="A12:D12" xr:uid="{00000000-0002-0000-1800-00000F000000}">
      <formula1>INDIRECT("LISTS!$I$2:$I$18")</formula1>
    </dataValidation>
    <dataValidation type="list" sqref="C8" xr:uid="{00000000-0002-0000-1800-000010000000}">
      <formula1>INDIRECT("LISTS!$O$2:$O$11")</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200</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900-000000000000}">
      <formula1>INDIRECT("LISTS!$B$2:$B$10")</formula1>
    </dataValidation>
    <dataValidation type="list" sqref="I2" xr:uid="{00000000-0002-0000-1900-000001000000}">
      <formula1>INDIRECT("LISTS!$C$2:$C$5")</formula1>
    </dataValidation>
    <dataValidation type="list" sqref="C3" xr:uid="{00000000-0002-0000-1900-000002000000}">
      <formula1>INDIRECT("LISTS!$D$2:$D$15")</formula1>
    </dataValidation>
    <dataValidation type="list" sqref="I3" xr:uid="{00000000-0002-0000-1900-000003000000}">
      <formula1>INDIRECT("LISTS!$E$2:$E$9")</formula1>
    </dataValidation>
    <dataValidation type="list" sqref="C4" xr:uid="{00000000-0002-0000-1900-000004000000}">
      <formula1>INDIRECT("LISTS!$F$2:$F$32")</formula1>
    </dataValidation>
    <dataValidation type="list" sqref="I4" xr:uid="{00000000-0002-0000-1900-000005000000}">
      <formula1>INDIRECT("LISTS!$G$2:$G$6")</formula1>
    </dataValidation>
    <dataValidation type="list" sqref="C5" xr:uid="{00000000-0002-0000-1900-000006000000}">
      <formula1>INDIRECT("LISTS!$H$2:$H$196")</formula1>
    </dataValidation>
    <dataValidation type="list" sqref="I5" xr:uid="{00000000-0002-0000-1900-000007000000}">
      <formula1>INDIRECT("LISTS!$K$2:$K$2")</formula1>
    </dataValidation>
    <dataValidation type="list" sqref="C6" xr:uid="{00000000-0002-0000-1900-000008000000}">
      <formula1>INDIRECT("LISTS!$A$2:$A$8")</formula1>
    </dataValidation>
    <dataValidation type="list" sqref="C7" xr:uid="{00000000-0002-0000-1900-000009000000}">
      <formula1>INDIRECT("LISTS!$N$2:$N$36")</formula1>
    </dataValidation>
    <dataValidation type="list" sqref="B24 J24 F24:H24 D24" xr:uid="{00000000-0002-0000-1900-00000A000000}">
      <formula1>INDIRECT("LISTS!$J$2:$J$5")</formula1>
    </dataValidation>
    <dataValidation type="list" sqref="A12:D12" xr:uid="{00000000-0002-0000-1900-00000F000000}">
      <formula1>INDIRECT("LISTS!$I$2:$I$18")</formula1>
    </dataValidation>
    <dataValidation type="list" sqref="C8" xr:uid="{00000000-0002-0000-1900-000010000000}">
      <formula1>INDIRECT("LISTS!$O$2:$O$11")</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201</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A00-000000000000}">
      <formula1>INDIRECT("LISTS!$B$2:$B$10")</formula1>
    </dataValidation>
    <dataValidation type="list" sqref="I2" xr:uid="{00000000-0002-0000-1A00-000001000000}">
      <formula1>INDIRECT("LISTS!$C$2:$C$5")</formula1>
    </dataValidation>
    <dataValidation type="list" sqref="C3" xr:uid="{00000000-0002-0000-1A00-000002000000}">
      <formula1>INDIRECT("LISTS!$D$2:$D$15")</formula1>
    </dataValidation>
    <dataValidation type="list" sqref="I3" xr:uid="{00000000-0002-0000-1A00-000003000000}">
      <formula1>INDIRECT("LISTS!$E$2:$E$9")</formula1>
    </dataValidation>
    <dataValidation type="list" sqref="C4" xr:uid="{00000000-0002-0000-1A00-000004000000}">
      <formula1>INDIRECT("LISTS!$F$2:$F$32")</formula1>
    </dataValidation>
    <dataValidation type="list" sqref="I4" xr:uid="{00000000-0002-0000-1A00-000005000000}">
      <formula1>INDIRECT("LISTS!$G$2:$G$6")</formula1>
    </dataValidation>
    <dataValidation type="list" sqref="C5" xr:uid="{00000000-0002-0000-1A00-000006000000}">
      <formula1>INDIRECT("LISTS!$H$2:$H$196")</formula1>
    </dataValidation>
    <dataValidation type="list" sqref="I5" xr:uid="{00000000-0002-0000-1A00-000007000000}">
      <formula1>INDIRECT("LISTS!$K$2:$K$2")</formula1>
    </dataValidation>
    <dataValidation type="list" sqref="C6" xr:uid="{00000000-0002-0000-1A00-000008000000}">
      <formula1>INDIRECT("LISTS!$A$2:$A$8")</formula1>
    </dataValidation>
    <dataValidation type="list" sqref="C7" xr:uid="{00000000-0002-0000-1A00-000009000000}">
      <formula1>INDIRECT("LISTS!$N$2:$N$36")</formula1>
    </dataValidation>
    <dataValidation type="list" sqref="B24 J24 F24:H24 D24" xr:uid="{00000000-0002-0000-1A00-00000A000000}">
      <formula1>INDIRECT("LISTS!$J$2:$J$5")</formula1>
    </dataValidation>
    <dataValidation type="list" sqref="A12:D12" xr:uid="{00000000-0002-0000-1A00-00000F000000}">
      <formula1>INDIRECT("LISTS!$I$2:$I$18")</formula1>
    </dataValidation>
    <dataValidation type="list" sqref="C8" xr:uid="{00000000-0002-0000-1A00-000010000000}">
      <formula1>INDIRECT("LISTS!$O$2:$O$11")</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202</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B00-000000000000}">
      <formula1>INDIRECT("LISTS!$B$2:$B$10")</formula1>
    </dataValidation>
    <dataValidation type="list" sqref="I2" xr:uid="{00000000-0002-0000-1B00-000001000000}">
      <formula1>INDIRECT("LISTS!$C$2:$C$5")</formula1>
    </dataValidation>
    <dataValidation type="list" sqref="C3" xr:uid="{00000000-0002-0000-1B00-000002000000}">
      <formula1>INDIRECT("LISTS!$D$2:$D$15")</formula1>
    </dataValidation>
    <dataValidation type="list" sqref="I3" xr:uid="{00000000-0002-0000-1B00-000003000000}">
      <formula1>INDIRECT("LISTS!$E$2:$E$9")</formula1>
    </dataValidation>
    <dataValidation type="list" sqref="C4" xr:uid="{00000000-0002-0000-1B00-000004000000}">
      <formula1>INDIRECT("LISTS!$F$2:$F$32")</formula1>
    </dataValidation>
    <dataValidation type="list" sqref="I4" xr:uid="{00000000-0002-0000-1B00-000005000000}">
      <formula1>INDIRECT("LISTS!$G$2:$G$6")</formula1>
    </dataValidation>
    <dataValidation type="list" sqref="C5" xr:uid="{00000000-0002-0000-1B00-000006000000}">
      <formula1>INDIRECT("LISTS!$H$2:$H$196")</formula1>
    </dataValidation>
    <dataValidation type="list" sqref="I5" xr:uid="{00000000-0002-0000-1B00-000007000000}">
      <formula1>INDIRECT("LISTS!$K$2:$K$2")</formula1>
    </dataValidation>
    <dataValidation type="list" sqref="C6" xr:uid="{00000000-0002-0000-1B00-000008000000}">
      <formula1>INDIRECT("LISTS!$A$2:$A$8")</formula1>
    </dataValidation>
    <dataValidation type="list" sqref="C7" xr:uid="{00000000-0002-0000-1B00-000009000000}">
      <formula1>INDIRECT("LISTS!$N$2:$N$36")</formula1>
    </dataValidation>
    <dataValidation type="list" sqref="B24 J24 F24:H24 D24" xr:uid="{00000000-0002-0000-1B00-00000A000000}">
      <formula1>INDIRECT("LISTS!$J$2:$J$5")</formula1>
    </dataValidation>
    <dataValidation type="list" sqref="A12:D12" xr:uid="{00000000-0002-0000-1B00-00000F000000}">
      <formula1>INDIRECT("LISTS!$I$2:$I$18")</formula1>
    </dataValidation>
    <dataValidation type="list" sqref="C8" xr:uid="{00000000-0002-0000-1B00-000010000000}">
      <formula1>INDIRECT("LISTS!$O$2:$O$11")</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203</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C00-000000000000}">
      <formula1>INDIRECT("LISTS!$B$2:$B$10")</formula1>
    </dataValidation>
    <dataValidation type="list" sqref="I2" xr:uid="{00000000-0002-0000-1C00-000001000000}">
      <formula1>INDIRECT("LISTS!$C$2:$C$5")</formula1>
    </dataValidation>
    <dataValidation type="list" sqref="C3" xr:uid="{00000000-0002-0000-1C00-000002000000}">
      <formula1>INDIRECT("LISTS!$D$2:$D$15")</formula1>
    </dataValidation>
    <dataValidation type="list" sqref="I3" xr:uid="{00000000-0002-0000-1C00-000003000000}">
      <formula1>INDIRECT("LISTS!$E$2:$E$9")</formula1>
    </dataValidation>
    <dataValidation type="list" sqref="C4" xr:uid="{00000000-0002-0000-1C00-000004000000}">
      <formula1>INDIRECT("LISTS!$F$2:$F$32")</formula1>
    </dataValidation>
    <dataValidation type="list" sqref="I4" xr:uid="{00000000-0002-0000-1C00-000005000000}">
      <formula1>INDIRECT("LISTS!$G$2:$G$6")</formula1>
    </dataValidation>
    <dataValidation type="list" sqref="C5" xr:uid="{00000000-0002-0000-1C00-000006000000}">
      <formula1>INDIRECT("LISTS!$H$2:$H$196")</formula1>
    </dataValidation>
    <dataValidation type="list" sqref="I5" xr:uid="{00000000-0002-0000-1C00-000007000000}">
      <formula1>INDIRECT("LISTS!$K$2:$K$2")</formula1>
    </dataValidation>
    <dataValidation type="list" sqref="C6" xr:uid="{00000000-0002-0000-1C00-000008000000}">
      <formula1>INDIRECT("LISTS!$A$2:$A$8")</formula1>
    </dataValidation>
    <dataValidation type="list" sqref="C7" xr:uid="{00000000-0002-0000-1C00-000009000000}">
      <formula1>INDIRECT("LISTS!$N$2:$N$36")</formula1>
    </dataValidation>
    <dataValidation type="list" sqref="B24 J24 F24:H24 D24" xr:uid="{00000000-0002-0000-1C00-00000A000000}">
      <formula1>INDIRECT("LISTS!$J$2:$J$5")</formula1>
    </dataValidation>
    <dataValidation type="list" sqref="A12:D12" xr:uid="{00000000-0002-0000-1C00-00000F000000}">
      <formula1>INDIRECT("LISTS!$I$2:$I$18")</formula1>
    </dataValidation>
    <dataValidation type="list" sqref="C8" xr:uid="{00000000-0002-0000-1C00-000010000000}">
      <formula1>INDIRECT("LISTS!$O$2:$O$11")</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204</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D00-000000000000}">
      <formula1>INDIRECT("LISTS!$B$2:$B$10")</formula1>
    </dataValidation>
    <dataValidation type="list" sqref="I2" xr:uid="{00000000-0002-0000-1D00-000001000000}">
      <formula1>INDIRECT("LISTS!$C$2:$C$5")</formula1>
    </dataValidation>
    <dataValidation type="list" sqref="C3" xr:uid="{00000000-0002-0000-1D00-000002000000}">
      <formula1>INDIRECT("LISTS!$D$2:$D$15")</formula1>
    </dataValidation>
    <dataValidation type="list" sqref="I3" xr:uid="{00000000-0002-0000-1D00-000003000000}">
      <formula1>INDIRECT("LISTS!$E$2:$E$9")</formula1>
    </dataValidation>
    <dataValidation type="list" sqref="C4" xr:uid="{00000000-0002-0000-1D00-000004000000}">
      <formula1>INDIRECT("LISTS!$F$2:$F$32")</formula1>
    </dataValidation>
    <dataValidation type="list" sqref="I4" xr:uid="{00000000-0002-0000-1D00-000005000000}">
      <formula1>INDIRECT("LISTS!$G$2:$G$6")</formula1>
    </dataValidation>
    <dataValidation type="list" sqref="C5" xr:uid="{00000000-0002-0000-1D00-000006000000}">
      <formula1>INDIRECT("LISTS!$H$2:$H$196")</formula1>
    </dataValidation>
    <dataValidation type="list" sqref="I5" xr:uid="{00000000-0002-0000-1D00-000007000000}">
      <formula1>INDIRECT("LISTS!$K$2:$K$2")</formula1>
    </dataValidation>
    <dataValidation type="list" sqref="C6" xr:uid="{00000000-0002-0000-1D00-000008000000}">
      <formula1>INDIRECT("LISTS!$A$2:$A$8")</formula1>
    </dataValidation>
    <dataValidation type="list" sqref="C7" xr:uid="{00000000-0002-0000-1D00-000009000000}">
      <formula1>INDIRECT("LISTS!$N$2:$N$36")</formula1>
    </dataValidation>
    <dataValidation type="list" sqref="B24 J24 F24:H24 D24" xr:uid="{00000000-0002-0000-1D00-00000A000000}">
      <formula1>INDIRECT("LISTS!$J$2:$J$5")</formula1>
    </dataValidation>
    <dataValidation type="list" sqref="A12:D12" xr:uid="{00000000-0002-0000-1D00-00000F000000}">
      <formula1>INDIRECT("LISTS!$I$2:$I$18")</formula1>
    </dataValidation>
    <dataValidation type="list" sqref="C8" xr:uid="{00000000-0002-0000-1D00-000010000000}">
      <formula1>INDIRECT("LISTS!$O$2:$O$11")</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29"/>
  <sheetViews>
    <sheetView workbookViewId="0"/>
  </sheetViews>
  <sheetFormatPr defaultRowHeight="14"/>
  <cols>
    <col min="1" max="1" width="25" customWidth="1"/>
    <col min="2" max="11" width="12" customWidth="1"/>
  </cols>
  <sheetData>
    <row r="1" spans="1:11" ht="29.4" customHeight="1">
      <c r="A1" s="24" t="s">
        <v>135</v>
      </c>
      <c r="B1" s="24"/>
      <c r="C1" s="24"/>
      <c r="D1" s="24"/>
      <c r="E1" s="24"/>
      <c r="F1" s="24"/>
      <c r="G1" s="24"/>
      <c r="H1" s="24"/>
      <c r="I1" s="24"/>
      <c r="J1" s="24"/>
      <c r="K1" s="24"/>
    </row>
    <row r="2" spans="1:11" ht="22.65" customHeight="1">
      <c r="A2" s="25" t="s">
        <v>136</v>
      </c>
      <c r="B2" s="25"/>
      <c r="C2" s="26"/>
      <c r="D2" s="26"/>
      <c r="E2" s="26"/>
      <c r="F2" s="26"/>
      <c r="G2" s="25" t="s">
        <v>137</v>
      </c>
      <c r="H2" s="25"/>
      <c r="I2" s="26"/>
      <c r="J2" s="26"/>
      <c r="K2" s="26"/>
    </row>
    <row r="3" spans="1:11" ht="22.65" customHeight="1">
      <c r="A3" s="25" t="s">
        <v>138</v>
      </c>
      <c r="B3" s="25"/>
      <c r="C3" s="26"/>
      <c r="D3" s="26"/>
      <c r="E3" s="26"/>
      <c r="F3" s="26"/>
      <c r="G3" s="25" t="s">
        <v>139</v>
      </c>
      <c r="H3" s="25"/>
      <c r="I3" s="26"/>
      <c r="J3" s="26"/>
      <c r="K3" s="26"/>
    </row>
    <row r="4" spans="1:11" ht="22.65" customHeight="1">
      <c r="A4" s="25" t="s">
        <v>140</v>
      </c>
      <c r="B4" s="25"/>
      <c r="C4" s="26"/>
      <c r="D4" s="26"/>
      <c r="E4" s="26"/>
      <c r="F4" s="26"/>
      <c r="G4" s="25" t="s">
        <v>141</v>
      </c>
      <c r="H4" s="25"/>
      <c r="I4" s="26"/>
      <c r="J4" s="26"/>
      <c r="K4" s="26"/>
    </row>
    <row r="5" spans="1:11" ht="22.65" customHeight="1">
      <c r="A5" s="25" t="s">
        <v>142</v>
      </c>
      <c r="B5" s="25"/>
      <c r="C5" s="27"/>
      <c r="D5" s="26"/>
      <c r="E5" s="26"/>
      <c r="F5" s="26"/>
      <c r="G5" s="25" t="s">
        <v>143</v>
      </c>
      <c r="H5" s="25"/>
      <c r="I5" s="26" t="s">
        <v>25</v>
      </c>
      <c r="J5" s="26"/>
      <c r="K5" s="26"/>
    </row>
    <row r="6" spans="1:11" ht="22.65" customHeight="1">
      <c r="A6" s="25" t="s">
        <v>144</v>
      </c>
      <c r="B6" s="25"/>
      <c r="C6" s="26"/>
      <c r="D6" s="26"/>
      <c r="E6" s="26"/>
      <c r="F6" s="26"/>
      <c r="G6" s="25" t="s">
        <v>145</v>
      </c>
      <c r="H6" s="25"/>
      <c r="I6" s="28" t="s">
        <v>205</v>
      </c>
      <c r="J6" s="28"/>
      <c r="K6" s="28"/>
    </row>
    <row r="7" spans="1:11" ht="30.65" customHeight="1">
      <c r="A7" s="25" t="s">
        <v>147</v>
      </c>
      <c r="B7" s="25"/>
      <c r="C7" s="26"/>
      <c r="D7" s="26"/>
      <c r="E7" s="26"/>
      <c r="F7" s="26"/>
      <c r="G7" s="25" t="s">
        <v>148</v>
      </c>
      <c r="H7" s="25"/>
      <c r="I7" s="28"/>
      <c r="J7" s="28"/>
      <c r="K7" s="28"/>
    </row>
    <row r="8" spans="1:11" ht="22.65" customHeight="1">
      <c r="A8" s="25" t="s">
        <v>149</v>
      </c>
      <c r="B8" s="25"/>
      <c r="C8" s="26"/>
      <c r="D8" s="26"/>
      <c r="E8" s="26"/>
      <c r="F8" s="26"/>
      <c r="G8" s="26"/>
      <c r="H8" s="26"/>
      <c r="I8" s="26"/>
      <c r="J8" s="26"/>
      <c r="K8" s="26"/>
    </row>
    <row r="9" spans="1:11" ht="26.65" customHeight="1">
      <c r="A9" s="29" t="s">
        <v>150</v>
      </c>
      <c r="B9" s="29"/>
      <c r="C9" s="29"/>
      <c r="D9" s="29" t="s">
        <v>151</v>
      </c>
      <c r="E9" s="29"/>
      <c r="F9" s="29"/>
      <c r="G9" s="29"/>
      <c r="H9" s="29" t="s">
        <v>152</v>
      </c>
      <c r="I9" s="29"/>
      <c r="J9" s="29"/>
      <c r="K9" s="29"/>
    </row>
    <row r="10" spans="1:11" ht="30.65" customHeight="1">
      <c r="A10" s="30"/>
      <c r="B10" s="30"/>
      <c r="C10" s="30"/>
      <c r="D10" s="31"/>
      <c r="E10" s="31"/>
      <c r="F10" s="31"/>
      <c r="G10" s="31"/>
      <c r="H10" s="31"/>
      <c r="I10" s="31"/>
      <c r="J10" s="31"/>
      <c r="K10" s="31"/>
    </row>
    <row r="11" spans="1:11" ht="28" customHeight="1">
      <c r="A11" s="29" t="s">
        <v>153</v>
      </c>
      <c r="B11" s="29"/>
      <c r="C11" s="29"/>
      <c r="D11" s="29"/>
      <c r="E11" s="29" t="s">
        <v>154</v>
      </c>
      <c r="F11" s="29"/>
      <c r="G11" s="29"/>
      <c r="H11" s="29" t="s">
        <v>155</v>
      </c>
      <c r="I11" s="29"/>
      <c r="J11" s="29"/>
      <c r="K11" s="29"/>
    </row>
    <row r="12" spans="1:11" ht="26.65" customHeight="1">
      <c r="A12" s="8"/>
      <c r="B12" s="8"/>
      <c r="C12" s="8"/>
      <c r="D12" s="8"/>
      <c r="E12" s="31"/>
      <c r="F12" s="31"/>
      <c r="G12" s="31"/>
      <c r="H12" s="31"/>
      <c r="I12" s="31"/>
      <c r="J12" s="31"/>
      <c r="K12" s="31"/>
    </row>
    <row r="13" spans="1:11" ht="28" customHeight="1">
      <c r="A13" s="10" t="s">
        <v>156</v>
      </c>
      <c r="B13" s="32" t="s">
        <v>157</v>
      </c>
      <c r="C13" s="32"/>
      <c r="D13" s="32" t="s">
        <v>158</v>
      </c>
      <c r="E13" s="32"/>
      <c r="F13" s="32" t="s">
        <v>159</v>
      </c>
      <c r="G13" s="32"/>
      <c r="H13" s="32" t="s">
        <v>160</v>
      </c>
      <c r="I13" s="32"/>
      <c r="J13" s="32"/>
      <c r="K13" s="32"/>
    </row>
    <row r="14" spans="1:11" ht="37.4" customHeight="1">
      <c r="A14" s="33" t="s">
        <v>161</v>
      </c>
      <c r="B14" s="34" t="s">
        <v>30</v>
      </c>
      <c r="C14" s="34"/>
      <c r="D14" s="34" t="s">
        <v>30</v>
      </c>
      <c r="E14" s="34"/>
      <c r="F14" s="34" t="s">
        <v>30</v>
      </c>
      <c r="G14" s="34"/>
      <c r="H14" s="34" t="s">
        <v>30</v>
      </c>
      <c r="I14" s="34"/>
      <c r="J14" s="34"/>
      <c r="K14" s="34"/>
    </row>
    <row r="15" spans="1:11" ht="12" customHeight="1">
      <c r="A15" s="33"/>
      <c r="B15" s="34"/>
      <c r="C15" s="34"/>
      <c r="D15" s="34"/>
      <c r="E15" s="34"/>
      <c r="F15" s="34"/>
      <c r="G15" s="34"/>
      <c r="H15" s="34"/>
      <c r="I15" s="34"/>
      <c r="J15" s="34"/>
      <c r="K15" s="34"/>
    </row>
    <row r="16" spans="1:11" ht="25.4" customHeight="1">
      <c r="A16" s="11" t="s">
        <v>162</v>
      </c>
      <c r="B16" s="36" t="s">
        <v>163</v>
      </c>
      <c r="C16" s="36"/>
      <c r="D16" s="36"/>
      <c r="E16" s="36"/>
      <c r="F16" s="36"/>
      <c r="G16" s="36" t="s">
        <v>164</v>
      </c>
      <c r="H16" s="36"/>
      <c r="I16" s="36"/>
      <c r="J16" s="36"/>
      <c r="K16" s="36"/>
    </row>
    <row r="17" spans="1:11" ht="48" customHeight="1">
      <c r="A17" s="12" t="s">
        <v>165</v>
      </c>
      <c r="B17" s="34"/>
      <c r="C17" s="34"/>
      <c r="D17" s="34"/>
      <c r="E17" s="34"/>
      <c r="F17" s="34"/>
      <c r="G17" s="34"/>
      <c r="H17" s="34"/>
      <c r="I17" s="34"/>
      <c r="J17" s="34"/>
      <c r="K17" s="34"/>
    </row>
    <row r="18" spans="1:11" ht="44" customHeight="1">
      <c r="A18" s="12" t="s">
        <v>166</v>
      </c>
      <c r="B18" s="34"/>
      <c r="C18" s="34"/>
      <c r="D18" s="34"/>
      <c r="E18" s="34"/>
      <c r="F18" s="34"/>
      <c r="G18" s="34"/>
      <c r="H18" s="34"/>
      <c r="I18" s="34"/>
      <c r="J18" s="34"/>
      <c r="K18" s="34"/>
    </row>
    <row r="19" spans="1:11" ht="44" customHeight="1">
      <c r="A19" s="12" t="s">
        <v>167</v>
      </c>
      <c r="B19" s="34"/>
      <c r="C19" s="34"/>
      <c r="D19" s="34"/>
      <c r="E19" s="34"/>
      <c r="F19" s="34"/>
      <c r="G19" s="34"/>
      <c r="H19" s="34"/>
      <c r="I19" s="34"/>
      <c r="J19" s="34"/>
      <c r="K19" s="34"/>
    </row>
    <row r="20" spans="1:11" ht="52" customHeight="1">
      <c r="A20" s="12" t="s">
        <v>168</v>
      </c>
      <c r="B20" s="34"/>
      <c r="C20" s="34"/>
      <c r="D20" s="34"/>
      <c r="E20" s="34"/>
      <c r="F20" s="34"/>
      <c r="G20" s="34"/>
      <c r="H20" s="34"/>
      <c r="I20" s="34"/>
      <c r="J20" s="34"/>
      <c r="K20" s="34"/>
    </row>
    <row r="21" spans="1:11" ht="48" customHeight="1">
      <c r="A21" s="12" t="s">
        <v>169</v>
      </c>
      <c r="B21" s="34"/>
      <c r="C21" s="34"/>
      <c r="D21" s="34"/>
      <c r="E21" s="34"/>
      <c r="F21" s="34"/>
      <c r="G21" s="34"/>
      <c r="H21" s="34"/>
      <c r="I21" s="34"/>
      <c r="J21" s="34"/>
      <c r="K21" s="34"/>
    </row>
    <row r="22" spans="1:11" ht="74.650000000000006" customHeight="1">
      <c r="A22" s="12" t="s">
        <v>170</v>
      </c>
      <c r="B22" s="34" t="s">
        <v>29</v>
      </c>
      <c r="C22" s="34"/>
      <c r="D22" s="34"/>
      <c r="E22" s="34"/>
      <c r="F22" s="34"/>
      <c r="G22" s="34" t="s">
        <v>29</v>
      </c>
      <c r="H22" s="34"/>
      <c r="I22" s="34"/>
      <c r="J22" s="34"/>
      <c r="K22" s="34"/>
    </row>
    <row r="23" spans="1:11" ht="58.65" customHeight="1">
      <c r="A23" s="12" t="s">
        <v>171</v>
      </c>
      <c r="B23" s="34"/>
      <c r="C23" s="34"/>
      <c r="D23" s="34"/>
      <c r="E23" s="34"/>
      <c r="F23" s="34"/>
      <c r="G23" s="34"/>
      <c r="H23" s="34"/>
      <c r="I23" s="34"/>
      <c r="J23" s="34"/>
      <c r="K23" s="34"/>
    </row>
    <row r="24" spans="1:11" ht="22.65" customHeight="1">
      <c r="A24" s="6" t="s">
        <v>172</v>
      </c>
      <c r="B24" s="37"/>
      <c r="C24" s="37"/>
      <c r="D24" s="37"/>
      <c r="E24" s="37"/>
      <c r="F24" s="37"/>
      <c r="G24" s="37"/>
      <c r="H24" s="37"/>
      <c r="I24" s="37"/>
      <c r="J24" s="37"/>
      <c r="K24" s="37"/>
    </row>
    <row r="25" spans="1:11" ht="28" customHeight="1">
      <c r="A25" s="9" t="s">
        <v>173</v>
      </c>
      <c r="B25" s="34"/>
      <c r="C25" s="34"/>
      <c r="D25" s="34"/>
      <c r="E25" s="34"/>
      <c r="F25" s="34"/>
      <c r="G25" s="34"/>
      <c r="H25" s="34"/>
      <c r="I25" s="34"/>
      <c r="J25" s="34"/>
      <c r="K25" s="34"/>
    </row>
    <row r="26" spans="1:11" ht="28" customHeight="1">
      <c r="A26" s="29" t="s">
        <v>174</v>
      </c>
      <c r="B26" s="31" t="s">
        <v>31</v>
      </c>
      <c r="C26" s="31"/>
      <c r="D26" s="31"/>
      <c r="E26" s="31"/>
      <c r="F26" s="31"/>
      <c r="G26" s="31"/>
      <c r="H26" s="31"/>
      <c r="I26" s="31"/>
      <c r="J26" s="31"/>
      <c r="K26" s="31"/>
    </row>
    <row r="27" spans="1:11" ht="28" customHeight="1">
      <c r="A27" s="29"/>
      <c r="B27" s="31"/>
      <c r="C27" s="31"/>
      <c r="D27" s="31"/>
      <c r="E27" s="31"/>
      <c r="F27" s="31"/>
      <c r="G27" s="31"/>
      <c r="H27" s="31"/>
      <c r="I27" s="31"/>
      <c r="J27" s="31"/>
      <c r="K27" s="31"/>
    </row>
    <row r="28" spans="1:11" ht="33.4" customHeight="1">
      <c r="A28" s="35" t="s">
        <v>175</v>
      </c>
      <c r="B28" s="35"/>
      <c r="C28" s="35"/>
      <c r="D28" s="35"/>
      <c r="E28" s="35"/>
      <c r="F28" s="35"/>
      <c r="G28" s="35"/>
      <c r="H28" s="35"/>
      <c r="I28" s="35"/>
      <c r="J28" s="35"/>
      <c r="K28" s="35"/>
    </row>
    <row r="29" spans="1:11" ht="25.4" customHeight="1">
      <c r="A29" s="35" t="s">
        <v>176</v>
      </c>
      <c r="B29" s="35"/>
      <c r="C29" s="35"/>
      <c r="D29" s="35"/>
      <c r="E29" s="35"/>
      <c r="F29" s="35"/>
      <c r="G29" s="35"/>
      <c r="H29" s="35"/>
      <c r="I29" s="35"/>
      <c r="J29" s="35"/>
      <c r="K29" s="35"/>
    </row>
  </sheetData>
  <mergeCells count="71">
    <mergeCell ref="B23:F23"/>
    <mergeCell ref="G23:K23"/>
    <mergeCell ref="B24:F24"/>
    <mergeCell ref="G24:K24"/>
    <mergeCell ref="B25:F25"/>
    <mergeCell ref="G25:K25"/>
    <mergeCell ref="B20:F20"/>
    <mergeCell ref="G20:K20"/>
    <mergeCell ref="B21:F21"/>
    <mergeCell ref="G21:K21"/>
    <mergeCell ref="B22:F22"/>
    <mergeCell ref="G22:K22"/>
    <mergeCell ref="B17:F17"/>
    <mergeCell ref="G17:K17"/>
    <mergeCell ref="B18:F18"/>
    <mergeCell ref="G18:K18"/>
    <mergeCell ref="B19:F19"/>
    <mergeCell ref="G19:K19"/>
    <mergeCell ref="A26:A27"/>
    <mergeCell ref="B26:K27"/>
    <mergeCell ref="A28:K28"/>
    <mergeCell ref="A29:K29"/>
    <mergeCell ref="A7:B7"/>
    <mergeCell ref="C7:F7"/>
    <mergeCell ref="G7:H7"/>
    <mergeCell ref="I7:K7"/>
    <mergeCell ref="D9:G9"/>
    <mergeCell ref="H9:K9"/>
    <mergeCell ref="D10:G10"/>
    <mergeCell ref="H10:K10"/>
    <mergeCell ref="A8:B8"/>
    <mergeCell ref="C8:K8"/>
    <mergeCell ref="B16:F16"/>
    <mergeCell ref="G16:K16"/>
    <mergeCell ref="A14:A15"/>
    <mergeCell ref="B14:C15"/>
    <mergeCell ref="D14:E15"/>
    <mergeCell ref="F14:G15"/>
    <mergeCell ref="H14:K15"/>
    <mergeCell ref="E12:G12"/>
    <mergeCell ref="H12:K12"/>
    <mergeCell ref="B13:C13"/>
    <mergeCell ref="D13:E13"/>
    <mergeCell ref="F13:G13"/>
    <mergeCell ref="H13:K13"/>
    <mergeCell ref="A9:C9"/>
    <mergeCell ref="A10:C10"/>
    <mergeCell ref="A11:D11"/>
    <mergeCell ref="E11:G11"/>
    <mergeCell ref="H11:K11"/>
    <mergeCell ref="A5:B5"/>
    <mergeCell ref="C5:F5"/>
    <mergeCell ref="G5:H5"/>
    <mergeCell ref="I5:K5"/>
    <mergeCell ref="A6:B6"/>
    <mergeCell ref="C6:F6"/>
    <mergeCell ref="G6:H6"/>
    <mergeCell ref="I6:K6"/>
    <mergeCell ref="A3:B3"/>
    <mergeCell ref="C3:F3"/>
    <mergeCell ref="G3:H3"/>
    <mergeCell ref="I3:K3"/>
    <mergeCell ref="A4:B4"/>
    <mergeCell ref="C4:F4"/>
    <mergeCell ref="G4:H4"/>
    <mergeCell ref="I4:K4"/>
    <mergeCell ref="A1:K1"/>
    <mergeCell ref="A2:B2"/>
    <mergeCell ref="C2:F2"/>
    <mergeCell ref="G2:H2"/>
    <mergeCell ref="I2:K2"/>
  </mergeCells>
  <dataValidations count="13">
    <dataValidation type="list" sqref="C2" xr:uid="{00000000-0002-0000-1E00-000000000000}">
      <formula1>INDIRECT("LISTS!$B$2:$B$10")</formula1>
    </dataValidation>
    <dataValidation type="list" sqref="I2" xr:uid="{00000000-0002-0000-1E00-000001000000}">
      <formula1>INDIRECT("LISTS!$C$2:$C$5")</formula1>
    </dataValidation>
    <dataValidation type="list" sqref="C3" xr:uid="{00000000-0002-0000-1E00-000002000000}">
      <formula1>INDIRECT("LISTS!$D$2:$D$15")</formula1>
    </dataValidation>
    <dataValidation type="list" sqref="I3" xr:uid="{00000000-0002-0000-1E00-000003000000}">
      <formula1>INDIRECT("LISTS!$E$2:$E$9")</formula1>
    </dataValidation>
    <dataValidation type="list" sqref="C4" xr:uid="{00000000-0002-0000-1E00-000004000000}">
      <formula1>INDIRECT("LISTS!$F$2:$F$32")</formula1>
    </dataValidation>
    <dataValidation type="list" sqref="I4" xr:uid="{00000000-0002-0000-1E00-000005000000}">
      <formula1>INDIRECT("LISTS!$G$2:$G$6")</formula1>
    </dataValidation>
    <dataValidation type="list" sqref="C5" xr:uid="{00000000-0002-0000-1E00-000006000000}">
      <formula1>INDIRECT("LISTS!$H$2:$H$196")</formula1>
    </dataValidation>
    <dataValidation type="list" sqref="I5" xr:uid="{00000000-0002-0000-1E00-000007000000}">
      <formula1>INDIRECT("LISTS!$K$2:$K$2")</formula1>
    </dataValidation>
    <dataValidation type="list" sqref="C6" xr:uid="{00000000-0002-0000-1E00-000008000000}">
      <formula1>INDIRECT("LISTS!$A$2:$A$8")</formula1>
    </dataValidation>
    <dataValidation type="list" sqref="C7" xr:uid="{00000000-0002-0000-1E00-000009000000}">
      <formula1>INDIRECT("LISTS!$N$2:$N$36")</formula1>
    </dataValidation>
    <dataValidation type="list" sqref="B24 J24 F24:H24 D24" xr:uid="{00000000-0002-0000-1E00-00000A000000}">
      <formula1>INDIRECT("LISTS!$J$2:$J$5")</formula1>
    </dataValidation>
    <dataValidation type="list" sqref="A12:D12" xr:uid="{00000000-0002-0000-1E00-00000F000000}">
      <formula1>INDIRECT("LISTS!$I$2:$I$18")</formula1>
    </dataValidation>
    <dataValidation type="list" sqref="C8" xr:uid="{00000000-0002-0000-1E00-000010000000}">
      <formula1>INDIRECT("LISTS!$O$2:$O$11")</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6"/>
  <sheetViews>
    <sheetView workbookViewId="0"/>
  </sheetViews>
  <sheetFormatPr defaultRowHeight="14"/>
  <cols>
    <col min="1" max="1" width="40" customWidth="1"/>
    <col min="2" max="2" width="24" customWidth="1"/>
    <col min="3" max="3" width="28" customWidth="1"/>
    <col min="4" max="4" width="25" customWidth="1"/>
    <col min="5" max="6" width="22" customWidth="1"/>
    <col min="7" max="7" width="20" customWidth="1"/>
    <col min="8" max="8" width="22" customWidth="1"/>
    <col min="9" max="9" width="38" customWidth="1"/>
    <col min="10" max="10" width="22" customWidth="1"/>
    <col min="11" max="11" width="30" customWidth="1"/>
    <col min="12" max="12" width="48" customWidth="1"/>
    <col min="14" max="14" width="85" customWidth="1"/>
    <col min="15" max="15" width="28" customWidth="1"/>
    <col min="16" max="16" width="55" customWidth="1"/>
    <col min="17" max="17" width="28" customWidth="1"/>
    <col min="18" max="18" width="55" customWidth="1"/>
  </cols>
  <sheetData>
    <row r="1" spans="1:18" ht="21.4" customHeight="1">
      <c r="A1" s="4" t="s">
        <v>0</v>
      </c>
      <c r="B1" s="4" t="s">
        <v>1</v>
      </c>
      <c r="C1" s="4" t="s">
        <v>2</v>
      </c>
      <c r="D1" s="4" t="s">
        <v>3</v>
      </c>
      <c r="E1" s="4" t="s">
        <v>4</v>
      </c>
      <c r="F1" s="4" t="s">
        <v>5</v>
      </c>
      <c r="G1" s="4" t="s">
        <v>6</v>
      </c>
      <c r="H1" s="4" t="s">
        <v>7</v>
      </c>
      <c r="I1" s="4" t="s">
        <v>8</v>
      </c>
      <c r="J1" s="4" t="s">
        <v>9</v>
      </c>
      <c r="K1" s="4" t="s">
        <v>10</v>
      </c>
      <c r="L1" s="4" t="s">
        <v>11</v>
      </c>
      <c r="M1" s="5"/>
      <c r="N1" s="5" t="s">
        <v>12</v>
      </c>
      <c r="O1" s="7" t="s">
        <v>13</v>
      </c>
      <c r="P1" s="2" t="s">
        <v>14</v>
      </c>
      <c r="Q1" s="2" t="s">
        <v>15</v>
      </c>
      <c r="R1" s="2" t="s">
        <v>16</v>
      </c>
    </row>
    <row r="2" spans="1:18" ht="70">
      <c r="A2" s="2" t="s">
        <v>17</v>
      </c>
      <c r="B2" s="2" t="s">
        <v>18</v>
      </c>
      <c r="C2" s="2" t="s">
        <v>19</v>
      </c>
      <c r="D2" s="2" t="s">
        <v>20</v>
      </c>
      <c r="E2" s="2" t="s">
        <v>21</v>
      </c>
      <c r="F2" s="2">
        <v>0</v>
      </c>
      <c r="G2" s="2" t="s">
        <v>22</v>
      </c>
      <c r="H2" s="3">
        <v>46265</v>
      </c>
      <c r="I2" s="2" t="s">
        <v>23</v>
      </c>
      <c r="J2" s="2" t="s">
        <v>24</v>
      </c>
      <c r="K2" s="2" t="s">
        <v>25</v>
      </c>
      <c r="L2" s="2" t="s">
        <v>26</v>
      </c>
      <c r="M2" s="2"/>
      <c r="N2" s="2" t="s">
        <v>27</v>
      </c>
      <c r="O2" s="2" t="s">
        <v>28</v>
      </c>
      <c r="P2" s="2" t="s">
        <v>29</v>
      </c>
      <c r="Q2" s="2" t="s">
        <v>30</v>
      </c>
      <c r="R2" s="2" t="s">
        <v>31</v>
      </c>
    </row>
    <row r="3" spans="1:18" ht="42">
      <c r="A3" s="2" t="s">
        <v>32</v>
      </c>
      <c r="B3" s="2" t="s">
        <v>33</v>
      </c>
      <c r="C3" s="2" t="s">
        <v>34</v>
      </c>
      <c r="D3" s="2" t="s">
        <v>35</v>
      </c>
      <c r="E3" s="2" t="s">
        <v>36</v>
      </c>
      <c r="F3" s="2">
        <v>1</v>
      </c>
      <c r="G3" s="2" t="s">
        <v>37</v>
      </c>
      <c r="H3" s="3">
        <v>46266</v>
      </c>
      <c r="I3" s="2" t="s">
        <v>38</v>
      </c>
      <c r="J3" s="2" t="s">
        <v>39</v>
      </c>
      <c r="K3" s="2"/>
      <c r="L3" s="2"/>
      <c r="M3" s="2"/>
      <c r="N3" s="2" t="s">
        <v>40</v>
      </c>
      <c r="O3" s="2" t="s">
        <v>41</v>
      </c>
    </row>
    <row r="4" spans="1:18" ht="42">
      <c r="A4" s="2" t="s">
        <v>42</v>
      </c>
      <c r="B4" s="2" t="s">
        <v>43</v>
      </c>
      <c r="C4" s="2" t="s">
        <v>44</v>
      </c>
      <c r="D4" s="2" t="s">
        <v>45</v>
      </c>
      <c r="E4" s="2" t="s">
        <v>46</v>
      </c>
      <c r="F4" s="2">
        <v>2</v>
      </c>
      <c r="G4" s="2" t="s">
        <v>47</v>
      </c>
      <c r="H4" s="3">
        <v>46267</v>
      </c>
      <c r="I4" s="2" t="s">
        <v>48</v>
      </c>
      <c r="J4" s="2" t="s">
        <v>49</v>
      </c>
      <c r="K4" s="2"/>
      <c r="L4" s="2"/>
      <c r="M4" s="2"/>
      <c r="N4" s="2" t="s">
        <v>50</v>
      </c>
      <c r="O4" s="2" t="s">
        <v>51</v>
      </c>
    </row>
    <row r="5" spans="1:18" ht="42">
      <c r="A5" s="2" t="s">
        <v>52</v>
      </c>
      <c r="B5" s="2" t="s">
        <v>53</v>
      </c>
      <c r="C5" s="2" t="s">
        <v>54</v>
      </c>
      <c r="D5" s="2" t="s">
        <v>55</v>
      </c>
      <c r="E5" s="2" t="s">
        <v>56</v>
      </c>
      <c r="F5" s="2">
        <v>3</v>
      </c>
      <c r="G5" s="2" t="s">
        <v>57</v>
      </c>
      <c r="H5" s="3">
        <v>46268</v>
      </c>
      <c r="I5" s="2" t="s">
        <v>58</v>
      </c>
      <c r="J5" s="2" t="s">
        <v>59</v>
      </c>
      <c r="K5" s="2"/>
      <c r="L5" s="2"/>
      <c r="M5" s="2"/>
      <c r="N5" s="2" t="s">
        <v>60</v>
      </c>
      <c r="O5" s="2" t="s">
        <v>61</v>
      </c>
    </row>
    <row r="6" spans="1:18" ht="42">
      <c r="A6" s="2" t="s">
        <v>62</v>
      </c>
      <c r="B6" s="2" t="s">
        <v>63</v>
      </c>
      <c r="C6" s="2"/>
      <c r="D6" s="2" t="s">
        <v>64</v>
      </c>
      <c r="E6" s="2" t="s">
        <v>65</v>
      </c>
      <c r="F6" s="2">
        <v>4</v>
      </c>
      <c r="G6" s="2" t="s">
        <v>66</v>
      </c>
      <c r="H6" s="3">
        <v>46269</v>
      </c>
      <c r="I6" s="2" t="s">
        <v>67</v>
      </c>
      <c r="J6" s="2"/>
      <c r="K6" s="2"/>
      <c r="L6" s="2"/>
      <c r="M6" s="2"/>
      <c r="N6" s="2" t="s">
        <v>68</v>
      </c>
      <c r="O6" s="2" t="s">
        <v>69</v>
      </c>
    </row>
    <row r="7" spans="1:18" ht="42">
      <c r="A7" s="2" t="s">
        <v>70</v>
      </c>
      <c r="B7" s="2" t="s">
        <v>71</v>
      </c>
      <c r="C7" s="2"/>
      <c r="D7" s="2" t="s">
        <v>72</v>
      </c>
      <c r="E7" s="2" t="s">
        <v>73</v>
      </c>
      <c r="F7" s="2">
        <v>5</v>
      </c>
      <c r="G7" s="2"/>
      <c r="H7" s="3">
        <v>46272</v>
      </c>
      <c r="I7" s="2" t="s">
        <v>74</v>
      </c>
      <c r="J7" s="2"/>
      <c r="K7" s="2"/>
      <c r="L7" s="2"/>
      <c r="M7" s="2"/>
      <c r="N7" s="2" t="s">
        <v>75</v>
      </c>
      <c r="O7" s="2" t="s">
        <v>76</v>
      </c>
    </row>
    <row r="8" spans="1:18" ht="42">
      <c r="A8" s="2" t="s">
        <v>77</v>
      </c>
      <c r="B8" s="2" t="s">
        <v>78</v>
      </c>
      <c r="C8" s="2"/>
      <c r="D8" s="2" t="s">
        <v>79</v>
      </c>
      <c r="E8" s="2" t="s">
        <v>80</v>
      </c>
      <c r="F8" s="2">
        <v>6</v>
      </c>
      <c r="G8" s="2"/>
      <c r="H8" s="3">
        <v>46273</v>
      </c>
      <c r="I8" s="2" t="s">
        <v>81</v>
      </c>
      <c r="J8" s="2"/>
      <c r="K8" s="2"/>
      <c r="L8" s="2"/>
      <c r="M8" s="2"/>
      <c r="N8" s="2" t="s">
        <v>82</v>
      </c>
      <c r="O8" s="2" t="s">
        <v>83</v>
      </c>
    </row>
    <row r="9" spans="1:18" ht="28">
      <c r="A9" s="2"/>
      <c r="B9" s="2" t="s">
        <v>84</v>
      </c>
      <c r="C9" s="2"/>
      <c r="D9" s="2" t="s">
        <v>85</v>
      </c>
      <c r="E9" s="2" t="s">
        <v>86</v>
      </c>
      <c r="F9" s="2">
        <v>7</v>
      </c>
      <c r="G9" s="2"/>
      <c r="H9" s="3">
        <v>46274</v>
      </c>
      <c r="I9" s="2" t="s">
        <v>87</v>
      </c>
      <c r="J9" s="2"/>
      <c r="K9" s="2"/>
      <c r="L9" s="2"/>
      <c r="M9" s="2"/>
      <c r="N9" s="2" t="s">
        <v>88</v>
      </c>
      <c r="O9" s="2" t="s">
        <v>89</v>
      </c>
    </row>
    <row r="10" spans="1:18" ht="42">
      <c r="A10" s="2"/>
      <c r="B10" s="2" t="s">
        <v>90</v>
      </c>
      <c r="C10" s="2"/>
      <c r="D10" s="2" t="s">
        <v>91</v>
      </c>
      <c r="E10" s="2"/>
      <c r="F10" s="2">
        <v>8</v>
      </c>
      <c r="G10" s="2"/>
      <c r="H10" s="3">
        <v>46275</v>
      </c>
      <c r="I10" s="2" t="s">
        <v>92</v>
      </c>
      <c r="J10" s="2"/>
      <c r="K10" s="2"/>
      <c r="L10" s="2"/>
      <c r="M10" s="2"/>
      <c r="N10" s="2" t="s">
        <v>93</v>
      </c>
      <c r="O10" s="2" t="s">
        <v>94</v>
      </c>
    </row>
    <row r="11" spans="1:18" ht="42">
      <c r="A11" s="2"/>
      <c r="B11" s="2"/>
      <c r="C11" s="2"/>
      <c r="D11" s="2" t="s">
        <v>95</v>
      </c>
      <c r="E11" s="2"/>
      <c r="F11" s="2">
        <v>9</v>
      </c>
      <c r="G11" s="2"/>
      <c r="H11" s="3">
        <v>46276</v>
      </c>
      <c r="I11" s="2" t="s">
        <v>96</v>
      </c>
      <c r="J11" s="2"/>
      <c r="K11" s="2"/>
      <c r="L11" s="2"/>
      <c r="M11" s="2"/>
      <c r="N11" s="2" t="s">
        <v>97</v>
      </c>
      <c r="O11" s="2" t="s">
        <v>98</v>
      </c>
    </row>
    <row r="12" spans="1:18" ht="42">
      <c r="A12" s="2"/>
      <c r="B12" s="2"/>
      <c r="C12" s="2"/>
      <c r="D12" s="2" t="s">
        <v>99</v>
      </c>
      <c r="E12" s="2"/>
      <c r="F12" s="2">
        <v>10</v>
      </c>
      <c r="G12" s="2"/>
      <c r="H12" s="3">
        <v>46279</v>
      </c>
      <c r="I12" s="2" t="s">
        <v>100</v>
      </c>
      <c r="J12" s="2"/>
      <c r="K12" s="2"/>
      <c r="L12" s="2"/>
      <c r="M12" s="2"/>
      <c r="N12" s="2" t="s">
        <v>101</v>
      </c>
    </row>
    <row r="13" spans="1:18" ht="28">
      <c r="A13" s="2"/>
      <c r="B13" s="2"/>
      <c r="C13" s="2"/>
      <c r="D13" s="2" t="s">
        <v>102</v>
      </c>
      <c r="E13" s="2"/>
      <c r="F13" s="2">
        <v>11</v>
      </c>
      <c r="G13" s="2"/>
      <c r="H13" s="3">
        <v>46280</v>
      </c>
      <c r="I13" s="2" t="s">
        <v>103</v>
      </c>
      <c r="J13" s="2"/>
      <c r="K13" s="2"/>
      <c r="L13" s="2"/>
      <c r="M13" s="2"/>
      <c r="N13" s="2" t="s">
        <v>104</v>
      </c>
    </row>
    <row r="14" spans="1:18" ht="28">
      <c r="A14" s="2"/>
      <c r="B14" s="2"/>
      <c r="C14" s="2"/>
      <c r="D14" s="2" t="s">
        <v>105</v>
      </c>
      <c r="E14" s="2"/>
      <c r="F14" s="2">
        <v>12</v>
      </c>
      <c r="G14" s="2"/>
      <c r="H14" s="3">
        <v>46281</v>
      </c>
      <c r="I14" s="2" t="s">
        <v>106</v>
      </c>
      <c r="J14" s="2"/>
      <c r="K14" s="2"/>
      <c r="L14" s="2"/>
      <c r="M14" s="2"/>
      <c r="N14" s="2" t="s">
        <v>107</v>
      </c>
    </row>
    <row r="15" spans="1:18" ht="28">
      <c r="A15" s="2"/>
      <c r="B15" s="2"/>
      <c r="C15" s="2"/>
      <c r="D15" s="2" t="s">
        <v>108</v>
      </c>
      <c r="E15" s="2"/>
      <c r="F15" s="2">
        <v>13</v>
      </c>
      <c r="G15" s="2"/>
      <c r="H15" s="3">
        <v>46282</v>
      </c>
      <c r="I15" s="2" t="s">
        <v>109</v>
      </c>
      <c r="J15" s="2"/>
      <c r="K15" s="2"/>
      <c r="L15" s="2"/>
      <c r="M15" s="2"/>
      <c r="N15" s="2" t="s">
        <v>110</v>
      </c>
    </row>
    <row r="16" spans="1:18" ht="28">
      <c r="A16" s="2"/>
      <c r="B16" s="2"/>
      <c r="C16" s="2"/>
      <c r="D16" s="2"/>
      <c r="E16" s="2"/>
      <c r="F16" s="2">
        <v>14</v>
      </c>
      <c r="G16" s="2"/>
      <c r="H16" s="3">
        <v>46283</v>
      </c>
      <c r="I16" s="2" t="s">
        <v>111</v>
      </c>
      <c r="J16" s="2"/>
      <c r="K16" s="2"/>
      <c r="L16" s="2"/>
      <c r="M16" s="2"/>
      <c r="N16" s="2" t="s">
        <v>112</v>
      </c>
    </row>
    <row r="17" spans="1:14" ht="42">
      <c r="A17" s="2"/>
      <c r="B17" s="2"/>
      <c r="C17" s="2"/>
      <c r="D17" s="2"/>
      <c r="E17" s="2"/>
      <c r="F17" s="2">
        <v>15</v>
      </c>
      <c r="G17" s="2"/>
      <c r="H17" s="3">
        <v>46286</v>
      </c>
      <c r="I17" s="2" t="s">
        <v>113</v>
      </c>
      <c r="J17" s="2"/>
      <c r="K17" s="2"/>
      <c r="L17" s="2"/>
      <c r="M17" s="2"/>
      <c r="N17" s="2" t="s">
        <v>114</v>
      </c>
    </row>
    <row r="18" spans="1:14" ht="42">
      <c r="A18" s="2"/>
      <c r="B18" s="2"/>
      <c r="C18" s="2"/>
      <c r="D18" s="2"/>
      <c r="E18" s="2"/>
      <c r="F18" s="2">
        <v>16</v>
      </c>
      <c r="G18" s="2"/>
      <c r="H18" s="3">
        <v>46287</v>
      </c>
      <c r="I18" s="2" t="s">
        <v>115</v>
      </c>
      <c r="J18" s="2"/>
      <c r="K18" s="2"/>
      <c r="L18" s="2"/>
      <c r="M18" s="2"/>
      <c r="N18" s="2" t="s">
        <v>116</v>
      </c>
    </row>
    <row r="19" spans="1:14" ht="42">
      <c r="A19" s="2"/>
      <c r="B19" s="2"/>
      <c r="C19" s="2"/>
      <c r="D19" s="2"/>
      <c r="E19" s="2"/>
      <c r="F19" s="2">
        <v>17</v>
      </c>
      <c r="G19" s="2"/>
      <c r="H19" s="3">
        <v>46288</v>
      </c>
      <c r="I19" s="2"/>
      <c r="J19" s="2"/>
      <c r="K19" s="2"/>
      <c r="L19" s="2"/>
      <c r="M19" s="2"/>
      <c r="N19" s="2" t="s">
        <v>117</v>
      </c>
    </row>
    <row r="20" spans="1:14" ht="42">
      <c r="A20" s="2"/>
      <c r="B20" s="2"/>
      <c r="C20" s="2"/>
      <c r="D20" s="2"/>
      <c r="E20" s="2"/>
      <c r="F20" s="2">
        <v>18</v>
      </c>
      <c r="G20" s="2"/>
      <c r="H20" s="3">
        <v>46289</v>
      </c>
      <c r="I20" s="2"/>
      <c r="J20" s="2"/>
      <c r="K20" s="2"/>
      <c r="L20" s="2"/>
      <c r="M20" s="2"/>
      <c r="N20" s="2" t="s">
        <v>118</v>
      </c>
    </row>
    <row r="21" spans="1:14" ht="42">
      <c r="A21" s="2"/>
      <c r="B21" s="2"/>
      <c r="C21" s="2"/>
      <c r="D21" s="2"/>
      <c r="E21" s="2"/>
      <c r="F21" s="2">
        <v>19</v>
      </c>
      <c r="G21" s="2"/>
      <c r="H21" s="3">
        <v>46290</v>
      </c>
      <c r="I21" s="2"/>
      <c r="J21" s="2"/>
      <c r="K21" s="2"/>
      <c r="L21" s="2"/>
      <c r="M21" s="2"/>
      <c r="N21" s="2" t="s">
        <v>119</v>
      </c>
    </row>
    <row r="22" spans="1:14" ht="42">
      <c r="A22" s="2"/>
      <c r="B22" s="2"/>
      <c r="C22" s="2"/>
      <c r="D22" s="2"/>
      <c r="E22" s="2"/>
      <c r="F22" s="2">
        <v>20</v>
      </c>
      <c r="G22" s="2"/>
      <c r="H22" s="3">
        <v>46293</v>
      </c>
      <c r="I22" s="2"/>
      <c r="J22" s="2"/>
      <c r="K22" s="2"/>
      <c r="L22" s="2"/>
      <c r="M22" s="2"/>
      <c r="N22" s="2" t="s">
        <v>120</v>
      </c>
    </row>
    <row r="23" spans="1:14" ht="42">
      <c r="A23" s="2"/>
      <c r="B23" s="2"/>
      <c r="C23" s="2"/>
      <c r="D23" s="2"/>
      <c r="E23" s="2"/>
      <c r="F23" s="2">
        <v>21</v>
      </c>
      <c r="G23" s="2"/>
      <c r="H23" s="3">
        <v>46294</v>
      </c>
      <c r="I23" s="2"/>
      <c r="J23" s="2"/>
      <c r="K23" s="2"/>
      <c r="L23" s="2"/>
      <c r="M23" s="2"/>
      <c r="N23" s="2" t="s">
        <v>121</v>
      </c>
    </row>
    <row r="24" spans="1:14" ht="42">
      <c r="A24" s="2"/>
      <c r="B24" s="2"/>
      <c r="C24" s="2"/>
      <c r="D24" s="2"/>
      <c r="E24" s="2"/>
      <c r="F24" s="2">
        <v>22</v>
      </c>
      <c r="G24" s="2"/>
      <c r="H24" s="3">
        <v>46295</v>
      </c>
      <c r="I24" s="2"/>
      <c r="J24" s="2"/>
      <c r="K24" s="2"/>
      <c r="L24" s="2"/>
      <c r="M24" s="2"/>
      <c r="N24" s="2" t="s">
        <v>122</v>
      </c>
    </row>
    <row r="25" spans="1:14" ht="42">
      <c r="A25" s="2"/>
      <c r="B25" s="2"/>
      <c r="C25" s="2"/>
      <c r="D25" s="2"/>
      <c r="E25" s="2"/>
      <c r="F25" s="2">
        <v>23</v>
      </c>
      <c r="G25" s="2"/>
      <c r="H25" s="3">
        <v>46296</v>
      </c>
      <c r="I25" s="2"/>
      <c r="J25" s="2"/>
      <c r="K25" s="2"/>
      <c r="L25" s="2"/>
      <c r="M25" s="2"/>
      <c r="N25" s="2" t="s">
        <v>123</v>
      </c>
    </row>
    <row r="26" spans="1:14" ht="42">
      <c r="A26" s="2"/>
      <c r="B26" s="2"/>
      <c r="C26" s="2"/>
      <c r="D26" s="2"/>
      <c r="E26" s="2"/>
      <c r="F26" s="2">
        <v>24</v>
      </c>
      <c r="G26" s="2"/>
      <c r="H26" s="3">
        <v>46297</v>
      </c>
      <c r="I26" s="2"/>
      <c r="J26" s="2"/>
      <c r="K26" s="2"/>
      <c r="L26" s="2"/>
      <c r="M26" s="2"/>
      <c r="N26" s="2" t="s">
        <v>124</v>
      </c>
    </row>
    <row r="27" spans="1:14" ht="42">
      <c r="A27" s="2"/>
      <c r="B27" s="2"/>
      <c r="C27" s="2"/>
      <c r="D27" s="2"/>
      <c r="E27" s="2"/>
      <c r="F27" s="2">
        <v>25</v>
      </c>
      <c r="G27" s="2"/>
      <c r="H27" s="3">
        <v>46300</v>
      </c>
      <c r="I27" s="2"/>
      <c r="J27" s="2"/>
      <c r="K27" s="2"/>
      <c r="L27" s="2"/>
      <c r="M27" s="2"/>
      <c r="N27" s="2" t="s">
        <v>125</v>
      </c>
    </row>
    <row r="28" spans="1:14" ht="42">
      <c r="A28" s="2"/>
      <c r="B28" s="2"/>
      <c r="C28" s="2"/>
      <c r="D28" s="2"/>
      <c r="E28" s="2"/>
      <c r="F28" s="2">
        <v>26</v>
      </c>
      <c r="G28" s="2"/>
      <c r="H28" s="3">
        <v>46301</v>
      </c>
      <c r="I28" s="2"/>
      <c r="J28" s="2"/>
      <c r="K28" s="2"/>
      <c r="L28" s="2"/>
      <c r="M28" s="2"/>
      <c r="N28" s="2" t="s">
        <v>126</v>
      </c>
    </row>
    <row r="29" spans="1:14" ht="42">
      <c r="A29" s="2"/>
      <c r="B29" s="2"/>
      <c r="C29" s="2"/>
      <c r="D29" s="2"/>
      <c r="E29" s="2"/>
      <c r="F29" s="2">
        <v>27</v>
      </c>
      <c r="G29" s="2"/>
      <c r="H29" s="3">
        <v>46302</v>
      </c>
      <c r="I29" s="2"/>
      <c r="J29" s="2"/>
      <c r="K29" s="2"/>
      <c r="L29" s="2"/>
      <c r="M29" s="2"/>
      <c r="N29" s="2" t="s">
        <v>127</v>
      </c>
    </row>
    <row r="30" spans="1:14" ht="42">
      <c r="A30" s="2"/>
      <c r="B30" s="2"/>
      <c r="C30" s="2"/>
      <c r="D30" s="2"/>
      <c r="E30" s="2"/>
      <c r="F30" s="2">
        <v>28</v>
      </c>
      <c r="G30" s="2"/>
      <c r="H30" s="3">
        <v>46303</v>
      </c>
      <c r="I30" s="2"/>
      <c r="J30" s="2"/>
      <c r="K30" s="2"/>
      <c r="L30" s="2"/>
      <c r="M30" s="2"/>
      <c r="N30" s="2" t="s">
        <v>128</v>
      </c>
    </row>
    <row r="31" spans="1:14" ht="42">
      <c r="A31" s="2"/>
      <c r="B31" s="2"/>
      <c r="C31" s="2"/>
      <c r="D31" s="2"/>
      <c r="E31" s="2"/>
      <c r="F31" s="2">
        <v>29</v>
      </c>
      <c r="G31" s="2"/>
      <c r="H31" s="3">
        <v>46304</v>
      </c>
      <c r="I31" s="2"/>
      <c r="J31" s="2"/>
      <c r="K31" s="2"/>
      <c r="L31" s="2"/>
      <c r="M31" s="2"/>
      <c r="N31" s="2" t="s">
        <v>129</v>
      </c>
    </row>
    <row r="32" spans="1:14" ht="42">
      <c r="A32" s="2"/>
      <c r="B32" s="2"/>
      <c r="C32" s="2"/>
      <c r="D32" s="2"/>
      <c r="E32" s="2"/>
      <c r="F32" s="2">
        <v>30</v>
      </c>
      <c r="G32" s="2"/>
      <c r="H32" s="3">
        <v>46314</v>
      </c>
      <c r="I32" s="2"/>
      <c r="J32" s="2"/>
      <c r="K32" s="2"/>
      <c r="L32" s="2"/>
      <c r="M32" s="2"/>
      <c r="N32" s="2" t="s">
        <v>130</v>
      </c>
    </row>
    <row r="33" spans="1:14" ht="42">
      <c r="A33" s="2"/>
      <c r="B33" s="2"/>
      <c r="C33" s="2"/>
      <c r="D33" s="2"/>
      <c r="E33" s="2"/>
      <c r="F33" s="2"/>
      <c r="G33" s="2"/>
      <c r="H33" s="3">
        <v>46315</v>
      </c>
      <c r="I33" s="2"/>
      <c r="J33" s="2"/>
      <c r="K33" s="2"/>
      <c r="L33" s="2"/>
      <c r="M33" s="2"/>
      <c r="N33" s="2" t="s">
        <v>131</v>
      </c>
    </row>
    <row r="34" spans="1:14" ht="42">
      <c r="A34" s="2"/>
      <c r="B34" s="2"/>
      <c r="C34" s="2"/>
      <c r="D34" s="2"/>
      <c r="E34" s="2"/>
      <c r="F34" s="2"/>
      <c r="G34" s="2"/>
      <c r="H34" s="3">
        <v>46316</v>
      </c>
      <c r="I34" s="2"/>
      <c r="J34" s="2"/>
      <c r="K34" s="2"/>
      <c r="L34" s="2"/>
      <c r="M34" s="2"/>
      <c r="N34" s="2" t="s">
        <v>132</v>
      </c>
    </row>
    <row r="35" spans="1:14" ht="42">
      <c r="A35" s="2"/>
      <c r="B35" s="2"/>
      <c r="C35" s="2"/>
      <c r="D35" s="2"/>
      <c r="E35" s="2"/>
      <c r="F35" s="2"/>
      <c r="G35" s="2"/>
      <c r="H35" s="3">
        <v>46317</v>
      </c>
      <c r="I35" s="2"/>
      <c r="J35" s="2"/>
      <c r="K35" s="2"/>
      <c r="L35" s="2"/>
      <c r="M35" s="2"/>
      <c r="N35" s="2" t="s">
        <v>133</v>
      </c>
    </row>
    <row r="36" spans="1:14" ht="42">
      <c r="A36" s="2"/>
      <c r="B36" s="2"/>
      <c r="C36" s="2"/>
      <c r="D36" s="2"/>
      <c r="E36" s="2"/>
      <c r="F36" s="2"/>
      <c r="G36" s="2"/>
      <c r="H36" s="3">
        <v>46318</v>
      </c>
      <c r="I36" s="2"/>
      <c r="J36" s="2"/>
      <c r="K36" s="2"/>
      <c r="L36" s="2"/>
      <c r="M36" s="2"/>
      <c r="N36" s="2" t="s">
        <v>134</v>
      </c>
    </row>
    <row r="37" spans="1:14">
      <c r="A37" s="2"/>
      <c r="B37" s="2"/>
      <c r="C37" s="2"/>
      <c r="D37" s="2"/>
      <c r="E37" s="2"/>
      <c r="F37" s="2"/>
      <c r="G37" s="2"/>
      <c r="H37" s="3">
        <v>46321</v>
      </c>
      <c r="I37" s="2"/>
      <c r="J37" s="2"/>
      <c r="K37" s="2"/>
      <c r="L37" s="2"/>
      <c r="M37" s="2"/>
      <c r="N37" s="2"/>
    </row>
    <row r="38" spans="1:14">
      <c r="A38" s="2"/>
      <c r="B38" s="2"/>
      <c r="C38" s="2"/>
      <c r="D38" s="2"/>
      <c r="E38" s="2"/>
      <c r="F38" s="2"/>
      <c r="G38" s="2"/>
      <c r="H38" s="3">
        <v>46322</v>
      </c>
      <c r="I38" s="2"/>
      <c r="J38" s="2"/>
      <c r="K38" s="2"/>
      <c r="L38" s="2"/>
      <c r="M38" s="2"/>
      <c r="N38" s="2"/>
    </row>
    <row r="39" spans="1:14">
      <c r="A39" s="2"/>
      <c r="B39" s="2"/>
      <c r="C39" s="2"/>
      <c r="D39" s="2"/>
      <c r="E39" s="2"/>
      <c r="F39" s="2"/>
      <c r="G39" s="2"/>
      <c r="H39" s="3">
        <v>46323</v>
      </c>
      <c r="I39" s="2"/>
      <c r="J39" s="2"/>
      <c r="K39" s="2"/>
      <c r="L39" s="2"/>
      <c r="M39" s="2"/>
      <c r="N39" s="2"/>
    </row>
    <row r="40" spans="1:14">
      <c r="A40" s="2"/>
      <c r="B40" s="2"/>
      <c r="C40" s="2"/>
      <c r="D40" s="2"/>
      <c r="E40" s="2"/>
      <c r="F40" s="2"/>
      <c r="G40" s="2"/>
      <c r="H40" s="3">
        <v>46324</v>
      </c>
      <c r="I40" s="2"/>
      <c r="J40" s="2"/>
      <c r="K40" s="2"/>
      <c r="L40" s="2"/>
      <c r="M40" s="2"/>
      <c r="N40" s="2"/>
    </row>
    <row r="41" spans="1:14">
      <c r="H41" s="1">
        <v>46325</v>
      </c>
    </row>
    <row r="42" spans="1:14">
      <c r="H42" s="1">
        <v>46328</v>
      </c>
    </row>
    <row r="43" spans="1:14">
      <c r="H43" s="1">
        <v>46329</v>
      </c>
    </row>
    <row r="44" spans="1:14">
      <c r="H44" s="1">
        <v>46330</v>
      </c>
    </row>
    <row r="45" spans="1:14">
      <c r="H45" s="1">
        <v>46331</v>
      </c>
    </row>
    <row r="46" spans="1:14">
      <c r="H46" s="1">
        <v>46332</v>
      </c>
    </row>
    <row r="47" spans="1:14">
      <c r="H47" s="1">
        <v>46335</v>
      </c>
    </row>
    <row r="48" spans="1:14">
      <c r="H48" s="1">
        <v>46336</v>
      </c>
    </row>
    <row r="49" spans="8:8">
      <c r="H49" s="1">
        <v>46337</v>
      </c>
    </row>
    <row r="50" spans="8:8">
      <c r="H50" s="1">
        <v>46338</v>
      </c>
    </row>
    <row r="51" spans="8:8">
      <c r="H51" s="1">
        <v>46339</v>
      </c>
    </row>
    <row r="52" spans="8:8">
      <c r="H52" s="1">
        <v>46342</v>
      </c>
    </row>
    <row r="53" spans="8:8">
      <c r="H53" s="1">
        <v>46343</v>
      </c>
    </row>
    <row r="54" spans="8:8">
      <c r="H54" s="1">
        <v>46344</v>
      </c>
    </row>
    <row r="55" spans="8:8">
      <c r="H55" s="1">
        <v>46345</v>
      </c>
    </row>
    <row r="56" spans="8:8">
      <c r="H56" s="1">
        <v>46346</v>
      </c>
    </row>
    <row r="57" spans="8:8">
      <c r="H57" s="1">
        <v>46349</v>
      </c>
    </row>
    <row r="58" spans="8:8">
      <c r="H58" s="1">
        <v>46350</v>
      </c>
    </row>
    <row r="59" spans="8:8">
      <c r="H59" s="1">
        <v>46351</v>
      </c>
    </row>
    <row r="60" spans="8:8">
      <c r="H60" s="1">
        <v>46352</v>
      </c>
    </row>
    <row r="61" spans="8:8">
      <c r="H61" s="1">
        <v>46353</v>
      </c>
    </row>
    <row r="62" spans="8:8">
      <c r="H62" s="1">
        <v>46356</v>
      </c>
    </row>
    <row r="63" spans="8:8">
      <c r="H63" s="1">
        <v>46357</v>
      </c>
    </row>
    <row r="64" spans="8:8">
      <c r="H64" s="1">
        <v>46358</v>
      </c>
    </row>
    <row r="65" spans="8:8">
      <c r="H65" s="1">
        <v>46359</v>
      </c>
    </row>
    <row r="66" spans="8:8">
      <c r="H66" s="1">
        <v>46360</v>
      </c>
    </row>
    <row r="67" spans="8:8">
      <c r="H67" s="1">
        <v>46363</v>
      </c>
    </row>
    <row r="68" spans="8:8">
      <c r="H68" s="1">
        <v>46364</v>
      </c>
    </row>
    <row r="69" spans="8:8">
      <c r="H69" s="1">
        <v>46365</v>
      </c>
    </row>
    <row r="70" spans="8:8">
      <c r="H70" s="1">
        <v>46366</v>
      </c>
    </row>
    <row r="71" spans="8:8">
      <c r="H71" s="1">
        <v>46367</v>
      </c>
    </row>
    <row r="72" spans="8:8">
      <c r="H72" s="1">
        <v>46391</v>
      </c>
    </row>
    <row r="73" spans="8:8">
      <c r="H73" s="1">
        <v>46392</v>
      </c>
    </row>
    <row r="74" spans="8:8">
      <c r="H74" s="1">
        <v>46393</v>
      </c>
    </row>
    <row r="75" spans="8:8">
      <c r="H75" s="1">
        <v>46394</v>
      </c>
    </row>
    <row r="76" spans="8:8">
      <c r="H76" s="1">
        <v>46395</v>
      </c>
    </row>
    <row r="77" spans="8:8">
      <c r="H77" s="1">
        <v>46398</v>
      </c>
    </row>
    <row r="78" spans="8:8">
      <c r="H78" s="1">
        <v>46399</v>
      </c>
    </row>
    <row r="79" spans="8:8">
      <c r="H79" s="1">
        <v>46400</v>
      </c>
    </row>
    <row r="80" spans="8:8">
      <c r="H80" s="1">
        <v>46401</v>
      </c>
    </row>
    <row r="81" spans="8:8">
      <c r="H81" s="1">
        <v>46402</v>
      </c>
    </row>
    <row r="82" spans="8:8">
      <c r="H82" s="1">
        <v>46405</v>
      </c>
    </row>
    <row r="83" spans="8:8">
      <c r="H83" s="1">
        <v>46406</v>
      </c>
    </row>
    <row r="84" spans="8:8">
      <c r="H84" s="1">
        <v>46407</v>
      </c>
    </row>
    <row r="85" spans="8:8">
      <c r="H85" s="1">
        <v>46408</v>
      </c>
    </row>
    <row r="86" spans="8:8">
      <c r="H86" s="1">
        <v>46409</v>
      </c>
    </row>
    <row r="87" spans="8:8">
      <c r="H87" s="1">
        <v>46412</v>
      </c>
    </row>
    <row r="88" spans="8:8">
      <c r="H88" s="1">
        <v>46413</v>
      </c>
    </row>
    <row r="89" spans="8:8">
      <c r="H89" s="1">
        <v>46414</v>
      </c>
    </row>
    <row r="90" spans="8:8">
      <c r="H90" s="1">
        <v>46415</v>
      </c>
    </row>
    <row r="91" spans="8:8">
      <c r="H91" s="1">
        <v>46416</v>
      </c>
    </row>
    <row r="92" spans="8:8">
      <c r="H92" s="1">
        <v>46419</v>
      </c>
    </row>
    <row r="93" spans="8:8">
      <c r="H93" s="1">
        <v>46420</v>
      </c>
    </row>
    <row r="94" spans="8:8">
      <c r="H94" s="1">
        <v>46421</v>
      </c>
    </row>
    <row r="95" spans="8:8">
      <c r="H95" s="1">
        <v>46422</v>
      </c>
    </row>
    <row r="96" spans="8:8">
      <c r="H96" s="1">
        <v>46423</v>
      </c>
    </row>
    <row r="97" spans="8:8">
      <c r="H97" s="1">
        <v>46426</v>
      </c>
    </row>
    <row r="98" spans="8:8">
      <c r="H98" s="1">
        <v>46427</v>
      </c>
    </row>
    <row r="99" spans="8:8">
      <c r="H99" s="1">
        <v>46428</v>
      </c>
    </row>
    <row r="100" spans="8:8">
      <c r="H100" s="1">
        <v>46429</v>
      </c>
    </row>
    <row r="101" spans="8:8">
      <c r="H101" s="1">
        <v>46430</v>
      </c>
    </row>
    <row r="102" spans="8:8">
      <c r="H102" s="1">
        <v>46433</v>
      </c>
    </row>
    <row r="103" spans="8:8">
      <c r="H103" s="1">
        <v>46434</v>
      </c>
    </row>
    <row r="104" spans="8:8">
      <c r="H104" s="1">
        <v>46435</v>
      </c>
    </row>
    <row r="105" spans="8:8">
      <c r="H105" s="1">
        <v>46436</v>
      </c>
    </row>
    <row r="106" spans="8:8">
      <c r="H106" s="1">
        <v>46437</v>
      </c>
    </row>
    <row r="107" spans="8:8">
      <c r="H107" s="1">
        <v>46440</v>
      </c>
    </row>
    <row r="108" spans="8:8">
      <c r="H108" s="1">
        <v>46441</v>
      </c>
    </row>
    <row r="109" spans="8:8">
      <c r="H109" s="1">
        <v>46442</v>
      </c>
    </row>
    <row r="110" spans="8:8">
      <c r="H110" s="1">
        <v>46443</v>
      </c>
    </row>
    <row r="111" spans="8:8">
      <c r="H111" s="1">
        <v>46444</v>
      </c>
    </row>
    <row r="112" spans="8:8">
      <c r="H112" s="1">
        <v>46447</v>
      </c>
    </row>
    <row r="113" spans="8:8">
      <c r="H113" s="1">
        <v>46448</v>
      </c>
    </row>
    <row r="114" spans="8:8">
      <c r="H114" s="1">
        <v>46449</v>
      </c>
    </row>
    <row r="115" spans="8:8">
      <c r="H115" s="1">
        <v>46450</v>
      </c>
    </row>
    <row r="116" spans="8:8">
      <c r="H116" s="1">
        <v>46451</v>
      </c>
    </row>
    <row r="117" spans="8:8">
      <c r="H117" s="1">
        <v>46454</v>
      </c>
    </row>
    <row r="118" spans="8:8">
      <c r="H118" s="1">
        <v>46455</v>
      </c>
    </row>
    <row r="119" spans="8:8">
      <c r="H119" s="1">
        <v>46456</v>
      </c>
    </row>
    <row r="120" spans="8:8">
      <c r="H120" s="1">
        <v>46457</v>
      </c>
    </row>
    <row r="121" spans="8:8">
      <c r="H121" s="1">
        <v>46458</v>
      </c>
    </row>
    <row r="122" spans="8:8">
      <c r="H122" s="1">
        <v>46461</v>
      </c>
    </row>
    <row r="123" spans="8:8">
      <c r="H123" s="1">
        <v>46462</v>
      </c>
    </row>
    <row r="124" spans="8:8">
      <c r="H124" s="1">
        <v>46463</v>
      </c>
    </row>
    <row r="125" spans="8:8">
      <c r="H125" s="1">
        <v>46464</v>
      </c>
    </row>
    <row r="126" spans="8:8">
      <c r="H126" s="1">
        <v>46465</v>
      </c>
    </row>
    <row r="127" spans="8:8">
      <c r="H127" s="1">
        <v>46468</v>
      </c>
    </row>
    <row r="128" spans="8:8">
      <c r="H128" s="1">
        <v>46469</v>
      </c>
    </row>
    <row r="129" spans="8:8">
      <c r="H129" s="1">
        <v>46470</v>
      </c>
    </row>
    <row r="130" spans="8:8">
      <c r="H130" s="1">
        <v>46471</v>
      </c>
    </row>
    <row r="131" spans="8:8">
      <c r="H131" s="1">
        <v>46472</v>
      </c>
    </row>
    <row r="132" spans="8:8">
      <c r="H132" s="1">
        <v>46475</v>
      </c>
    </row>
    <row r="133" spans="8:8">
      <c r="H133" s="1">
        <v>46476</v>
      </c>
    </row>
    <row r="134" spans="8:8">
      <c r="H134" s="1">
        <v>46477</v>
      </c>
    </row>
    <row r="135" spans="8:8">
      <c r="H135" s="1">
        <v>46478</v>
      </c>
    </row>
    <row r="136" spans="8:8">
      <c r="H136" s="1">
        <v>46479</v>
      </c>
    </row>
    <row r="137" spans="8:8">
      <c r="H137" s="1">
        <v>46489</v>
      </c>
    </row>
    <row r="138" spans="8:8">
      <c r="H138" s="1">
        <v>46490</v>
      </c>
    </row>
    <row r="139" spans="8:8">
      <c r="H139" s="1">
        <v>46491</v>
      </c>
    </row>
    <row r="140" spans="8:8">
      <c r="H140" s="1">
        <v>46492</v>
      </c>
    </row>
    <row r="141" spans="8:8">
      <c r="H141" s="1">
        <v>46493</v>
      </c>
    </row>
    <row r="142" spans="8:8">
      <c r="H142" s="1">
        <v>46496</v>
      </c>
    </row>
    <row r="143" spans="8:8">
      <c r="H143" s="1">
        <v>46497</v>
      </c>
    </row>
    <row r="144" spans="8:8">
      <c r="H144" s="1">
        <v>46498</v>
      </c>
    </row>
    <row r="145" spans="8:8">
      <c r="H145" s="1">
        <v>46499</v>
      </c>
    </row>
    <row r="146" spans="8:8">
      <c r="H146" s="1">
        <v>46500</v>
      </c>
    </row>
    <row r="147" spans="8:8">
      <c r="H147" s="1">
        <v>46503</v>
      </c>
    </row>
    <row r="148" spans="8:8">
      <c r="H148" s="1">
        <v>46504</v>
      </c>
    </row>
    <row r="149" spans="8:8">
      <c r="H149" s="1">
        <v>46505</v>
      </c>
    </row>
    <row r="150" spans="8:8">
      <c r="H150" s="1">
        <v>46506</v>
      </c>
    </row>
    <row r="151" spans="8:8">
      <c r="H151" s="1">
        <v>46507</v>
      </c>
    </row>
    <row r="152" spans="8:8">
      <c r="H152" s="1">
        <v>46510</v>
      </c>
    </row>
    <row r="153" spans="8:8">
      <c r="H153" s="1">
        <v>46511</v>
      </c>
    </row>
    <row r="154" spans="8:8">
      <c r="H154" s="1">
        <v>46512</v>
      </c>
    </row>
    <row r="155" spans="8:8">
      <c r="H155" s="1">
        <v>46513</v>
      </c>
    </row>
    <row r="156" spans="8:8">
      <c r="H156" s="1">
        <v>46514</v>
      </c>
    </row>
    <row r="157" spans="8:8">
      <c r="H157" s="1">
        <v>46517</v>
      </c>
    </row>
    <row r="158" spans="8:8">
      <c r="H158" s="1">
        <v>46518</v>
      </c>
    </row>
    <row r="159" spans="8:8">
      <c r="H159" s="1">
        <v>46519</v>
      </c>
    </row>
    <row r="160" spans="8:8">
      <c r="H160" s="1">
        <v>46520</v>
      </c>
    </row>
    <row r="161" spans="8:8">
      <c r="H161" s="1">
        <v>46521</v>
      </c>
    </row>
    <row r="162" spans="8:8">
      <c r="H162" s="1">
        <v>46524</v>
      </c>
    </row>
    <row r="163" spans="8:8">
      <c r="H163" s="1">
        <v>46525</v>
      </c>
    </row>
    <row r="164" spans="8:8">
      <c r="H164" s="1">
        <v>46526</v>
      </c>
    </row>
    <row r="165" spans="8:8">
      <c r="H165" s="1">
        <v>46527</v>
      </c>
    </row>
    <row r="166" spans="8:8">
      <c r="H166" s="1">
        <v>46528</v>
      </c>
    </row>
    <row r="167" spans="8:8">
      <c r="H167" s="1">
        <v>46531</v>
      </c>
    </row>
    <row r="168" spans="8:8">
      <c r="H168" s="1">
        <v>46532</v>
      </c>
    </row>
    <row r="169" spans="8:8">
      <c r="H169" s="1">
        <v>46533</v>
      </c>
    </row>
    <row r="170" spans="8:8">
      <c r="H170" s="1">
        <v>46534</v>
      </c>
    </row>
    <row r="171" spans="8:8">
      <c r="H171" s="1">
        <v>46535</v>
      </c>
    </row>
    <row r="172" spans="8:8">
      <c r="H172" s="1">
        <v>46538</v>
      </c>
    </row>
    <row r="173" spans="8:8">
      <c r="H173" s="1">
        <v>46539</v>
      </c>
    </row>
    <row r="174" spans="8:8">
      <c r="H174" s="1">
        <v>46540</v>
      </c>
    </row>
    <row r="175" spans="8:8">
      <c r="H175" s="1">
        <v>46541</v>
      </c>
    </row>
    <row r="176" spans="8:8">
      <c r="H176" s="1">
        <v>46542</v>
      </c>
    </row>
    <row r="177" spans="8:8">
      <c r="H177" s="1">
        <v>46545</v>
      </c>
    </row>
    <row r="178" spans="8:8">
      <c r="H178" s="1">
        <v>46546</v>
      </c>
    </row>
    <row r="179" spans="8:8">
      <c r="H179" s="1">
        <v>46547</v>
      </c>
    </row>
    <row r="180" spans="8:8">
      <c r="H180" s="1">
        <v>46548</v>
      </c>
    </row>
    <row r="181" spans="8:8">
      <c r="H181" s="1">
        <v>46549</v>
      </c>
    </row>
    <row r="182" spans="8:8">
      <c r="H182" s="1">
        <v>46552</v>
      </c>
    </row>
    <row r="183" spans="8:8">
      <c r="H183" s="1">
        <v>46553</v>
      </c>
    </row>
    <row r="184" spans="8:8">
      <c r="H184" s="1">
        <v>46554</v>
      </c>
    </row>
    <row r="185" spans="8:8">
      <c r="H185" s="1">
        <v>46555</v>
      </c>
    </row>
    <row r="186" spans="8:8">
      <c r="H186" s="1">
        <v>46556</v>
      </c>
    </row>
    <row r="187" spans="8:8">
      <c r="H187" s="1">
        <v>46559</v>
      </c>
    </row>
    <row r="188" spans="8:8">
      <c r="H188" s="1">
        <v>46560</v>
      </c>
    </row>
    <row r="189" spans="8:8">
      <c r="H189" s="1">
        <v>46561</v>
      </c>
    </row>
    <row r="190" spans="8:8">
      <c r="H190" s="1">
        <v>46562</v>
      </c>
    </row>
    <row r="191" spans="8:8">
      <c r="H191" s="1">
        <v>46563</v>
      </c>
    </row>
    <row r="192" spans="8:8">
      <c r="H192" s="1">
        <v>46566</v>
      </c>
    </row>
    <row r="193" spans="8:8">
      <c r="H193" s="1">
        <v>46567</v>
      </c>
    </row>
    <row r="194" spans="8:8">
      <c r="H194" s="1">
        <v>46568</v>
      </c>
    </row>
    <row r="195" spans="8:8">
      <c r="H195" s="1">
        <v>46569</v>
      </c>
    </row>
    <row r="196" spans="8:8">
      <c r="H196" s="1">
        <v>46570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DASHBOARD</vt:lpstr>
      <vt:lpstr>TRACKER</vt:lpstr>
      <vt:lpstr>WEEK 1</vt:lpstr>
      <vt:lpstr>WEEK 2</vt:lpstr>
      <vt:lpstr>WEEK 3</vt:lpstr>
      <vt:lpstr>WEEK 4</vt:lpstr>
      <vt:lpstr>WEEK 5</vt:lpstr>
      <vt:lpstr>WEEK 6</vt:lpstr>
      <vt:lpstr>WEEK 7</vt:lpstr>
      <vt:lpstr>WEEK 8</vt:lpstr>
      <vt:lpstr>WEEK 9</vt:lpstr>
      <vt:lpstr>WEEK 10</vt:lpstr>
      <vt:lpstr>WEEK 11</vt:lpstr>
      <vt:lpstr>WEEK 12</vt:lpstr>
      <vt:lpstr>WEEK 13</vt:lpstr>
      <vt:lpstr>WEEK 14</vt:lpstr>
      <vt:lpstr>WEEK 15</vt:lpstr>
      <vt:lpstr>WEEK 16</vt:lpstr>
      <vt:lpstr>WEEK 17</vt:lpstr>
      <vt:lpstr>WEEK 18</vt:lpstr>
      <vt:lpstr>WEEK 19</vt:lpstr>
      <vt:lpstr>WEEK 20</vt:lpstr>
      <vt:lpstr>WEEK 21</vt:lpstr>
      <vt:lpstr>WEEK 22</vt:lpstr>
      <vt:lpstr>WEEK 23</vt:lpstr>
      <vt:lpstr>WEEK 24</vt:lpstr>
      <vt:lpstr>WEEK 25</vt:lpstr>
      <vt:lpstr>WEEK 26</vt:lpstr>
      <vt:lpstr>WEEK 27</vt:lpstr>
      <vt:lpstr>WEEK 28</vt:lpstr>
      <vt:lpstr>WEEK 29</vt:lpstr>
      <vt:lpstr>WEEK 30</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Abdalla</dc:creator>
  <cp:lastModifiedBy>Ayman Abdalla</cp:lastModifiedBy>
  <dcterms:created xsi:type="dcterms:W3CDTF">2026-08-25T09:57:07Z</dcterms:created>
  <dcterms:modified xsi:type="dcterms:W3CDTF">2026-08-25T09:57:08Z</dcterms:modified>
</cp:coreProperties>
</file>